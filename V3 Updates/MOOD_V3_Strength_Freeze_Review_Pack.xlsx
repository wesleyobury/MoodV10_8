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orkouts" sheetId="2" state="visible" r:id="rId2"/>
    <sheet xmlns:r="http://schemas.openxmlformats.org/officeDocument/2006/relationships" name="Founder Test" sheetId="3" state="visible" r:id="rId3"/>
    <sheet xmlns:r="http://schemas.openxmlformats.org/officeDocument/2006/relationships" name="Legacy vs Rebuilt"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MOOD V3 Strength Core review pack (personalization pass)</t>
        </is>
      </c>
    </row>
    <row r="2">
      <c r="A2" s="2" t="inlineStr">
        <is>
          <t>Every workout came through the production path (service.generate_workout) with the rebuilt Strength core after the personalization pass. Same seed reproduces the same workout.</t>
        </is>
      </c>
    </row>
    <row r="3">
      <c r="A3" s="2" t="inlineStr">
        <is>
          <t>Workouts sheet: one row per case. Columns: context (State, level, goal, target, duration, soreness, equipment, history), workout (set methods inline), WHY THIS FITS TODAY (exact app text), REALIZED PERSONALIZATION (contract), State gate trace, then Rating and Notes for you.</t>
        </is>
      </c>
    </row>
    <row r="4">
      <c r="A4" s="2" t="inlineStr">
        <is>
          <t>Founder Test sheet: 20 random workouts with the State hidden. Fill 'Your State guess' and 'Defensible?' then compare with the Key sheet.</t>
        </is>
      </c>
    </row>
    <row r="5">
      <c r="A5" s="2" t="inlineStr">
        <is>
          <t>Legacy vs Rebuilt sheet: 10 identical inputs through the Phase 2.6 engine and the rebuilt core.</t>
        </is>
      </c>
    </row>
    <row r="6">
      <c r="A6" s="2" t="inlineStr">
        <is>
          <t>Summary sheet: the QA metrics over the 4,470-run sample (State satisfaction, fallback, truthfulness, level, goal, fingerprints, set methods, regression).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4"/>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6" customWidth="1" min="3" max="3"/>
    <col width="16" customWidth="1" min="4" max="4"/>
    <col width="12" customWidth="1" min="5" max="5"/>
    <col width="20" customWidth="1" min="6" max="6"/>
    <col width="9" customWidth="1" min="7" max="7"/>
    <col width="22" customWidth="1" min="8" max="8"/>
    <col width="12" customWidth="1" min="9" max="9"/>
    <col width="22" customWidth="1" min="10" max="10"/>
    <col width="18" customWidth="1" min="11" max="11"/>
    <col width="22" customWidth="1" min="12" max="12"/>
    <col width="8" customWidth="1" min="13" max="13"/>
    <col width="6" customWidth="1" min="14" max="14"/>
    <col width="16" customWidth="1" min="15" max="15"/>
    <col width="60" customWidth="1" min="16" max="16"/>
    <col width="60" customWidth="1" min="17" max="17"/>
    <col width="70" customWidth="1" min="18" max="18"/>
    <col width="70" customWidth="1" min="19" max="19"/>
    <col width="50" customWidth="1" min="20" max="20"/>
    <col width="40" customWidth="1" min="21" max="21"/>
    <col width="10" customWidth="1" min="22" max="22"/>
    <col width="40" customWidth="1" min="23" max="23"/>
  </cols>
  <sheetData>
    <row r="1">
      <c r="A1" s="1" t="inlineStr">
        <is>
          <t>Section</t>
        </is>
      </c>
      <c r="B1" s="1" t="inlineStr">
        <is>
          <t>Case</t>
        </is>
      </c>
      <c r="C1" s="1" t="inlineStr">
        <is>
          <t>Seed</t>
        </is>
      </c>
      <c r="D1" s="1" t="inlineStr">
        <is>
          <t>State(s)</t>
        </is>
      </c>
      <c r="E1" s="1" t="inlineStr">
        <is>
          <t>Level</t>
        </is>
      </c>
      <c r="F1" s="1" t="inlineStr">
        <is>
          <t>Goal</t>
        </is>
      </c>
      <c r="G1" s="1" t="inlineStr">
        <is>
          <t>Duration</t>
        </is>
      </c>
      <c r="H1" s="1" t="inlineStr">
        <is>
          <t>Target / archetype</t>
        </is>
      </c>
      <c r="I1" s="1" t="inlineStr">
        <is>
          <t>Soreness</t>
        </is>
      </c>
      <c r="J1" s="1" t="inlineStr">
        <is>
          <t>History</t>
        </is>
      </c>
      <c r="K1" s="1" t="inlineStr">
        <is>
          <t>Archetype built</t>
        </is>
      </c>
      <c r="L1" s="1" t="inlineStr">
        <is>
          <t>Variant</t>
        </is>
      </c>
      <c r="M1" s="1" t="inlineStr">
        <is>
          <t>Est. min</t>
        </is>
      </c>
      <c r="N1" s="1" t="inlineStr">
        <is>
          <t>Sets</t>
        </is>
      </c>
      <c r="O1" s="1" t="inlineStr">
        <is>
          <t>Set methods</t>
        </is>
      </c>
      <c r="P1" s="1" t="inlineStr">
        <is>
          <t>Workout</t>
        </is>
      </c>
      <c r="Q1" s="1" t="inlineStr">
        <is>
          <t>BUILT FOR TODAY (consumer)</t>
        </is>
      </c>
      <c r="R1" s="1" t="inlineStr">
        <is>
          <t>WHY THIS FITS TODAY (trainer reasoning)</t>
        </is>
      </c>
      <c r="S1" s="1" t="inlineStr">
        <is>
          <t>REALIZED PERSONALIZATION</t>
        </is>
      </c>
      <c r="T1" s="1" t="inlineStr">
        <is>
          <t>State gate</t>
        </is>
      </c>
      <c r="U1" s="1" t="inlineStr">
        <is>
          <t>Other Built for Today lines</t>
        </is>
      </c>
      <c r="V1" s="1" t="inlineStr">
        <is>
          <t>Rating (1-5)</t>
        </is>
      </c>
      <c r="W1" s="1" t="inlineStr">
        <is>
          <t>Notes</t>
        </is>
      </c>
    </row>
    <row r="2">
      <c r="A2" s="2" t="inlineStr">
        <is>
          <t>A. No State (level and goal carry the session)</t>
        </is>
      </c>
      <c r="B2" s="2" t="inlineStr">
        <is>
          <t>Upper Push, 60, intermediate, build muscle</t>
        </is>
      </c>
      <c r="C2" s="2" t="inlineStr">
        <is>
          <t>wes / 2026-10-14</t>
        </is>
      </c>
      <c r="D2" s="2" t="inlineStr">
        <is>
          <t>none</t>
        </is>
      </c>
      <c r="E2" s="2" t="inlineStr">
        <is>
          <t>intermediate</t>
        </is>
      </c>
      <c r="F2" s="2" t="inlineStr">
        <is>
          <t>Build muscle</t>
        </is>
      </c>
      <c r="G2" s="2" t="n">
        <v>60</v>
      </c>
      <c r="H2" s="2" t="inlineStr">
        <is>
          <t>Upper Push</t>
        </is>
      </c>
      <c r="I2" s="2" t="inlineStr">
        <is>
          <t>none</t>
        </is>
      </c>
      <c r="J2" s="2" t="inlineStr">
        <is>
          <t>first session</t>
        </is>
      </c>
      <c r="K2" s="2" t="inlineStr">
        <is>
          <t>Upper Push</t>
        </is>
      </c>
      <c r="L2" s="2" t="inlineStr">
        <is>
          <t>Compound + Paired Accessories</t>
        </is>
      </c>
      <c r="M2" s="2" t="n">
        <v>59.3</v>
      </c>
      <c r="N2" s="2" t="n">
        <v>24</v>
      </c>
      <c r="O2" s="2" t="inlineStr"/>
      <c r="P2" s="2" t="inlineStr">
        <is>
          <t>Barbell Bench Press: 4 × 5–7  RIR 2  rest 180 s
Parallel Bar Dip: 4 × 8–10  RIR 2  rest 120 s
Smith Machine Incline Press: 4 × 8–10  RIR 2  rest 120 s
SUPERSET A (4 rounds, rest 60 s after each round)
  A1 Dumbbell Fly: 4 × 12–15  RIR 1
  A2 Cable Triceps Pressdown: 4 × 12–15  RIR 1
EZ-Bar Skull Crusher: 4 × 12–15  RIR 1  rest 60 s</t>
        </is>
      </c>
      <c r="Q2" s="2" t="inlineStr">
        <is>
          <t>For muscle, the volume lives in the accessories: 3 movements at moderate reps behind Barbell Bench Press.</t>
        </is>
      </c>
      <c r="R2" s="2" t="inlineStr">
        <is>
          <t>Session: Upper Push, variant paired, 6 exercises, 24 working sets, est. 59.3 min for a 60-minute request; primary Barbell Bench Press 4 × 5–7 RIR 2; 1 superset(s), device none, methods none, finisher none.
[goal] Goal build_muscle: ['Compound + Paired Accessories shape (muscle goal weights it up)', '3 accessory movements behind the main lift, 12 accessory sets in the 10–20 range'].
Within a rep of failure: Dumbbell Fly, Cable Triceps Pressdown, EZ-Bar Skull Crusher.</t>
        </is>
      </c>
      <c r="S2" s="2" t="inlineStr">
        <is>
          <t>experience = intermediate → intended: match_programming_vocabulary_to_level → realized: intermediate pool: Barbell Bench Press, Parallel Bar Dip
goal = build_muscle → intended: hypertrophy_volume_and_accessories → realized: Compound + Paired Accessories shape (muscle goal weights it up); 3 accessory movements behind the main lift, 12 accessory sets in the 10–20 range
duration = 60 → intended: fill_the_requested_time_with_useful_work → realized: estimated 59.3 min for a 60-minute request
equipment = commercial_gym → intended: availability_only → realized: nothing (no claim made)
history = first session → intended: rotate_shape_and_movements_keep_the_main_lift → realized: nothing (no claim made)</t>
        </is>
      </c>
      <c r="T2" s="2" t="inlineStr">
        <is>
          <t>no State</t>
        </is>
      </c>
      <c r="U2" s="2" t="inlineStr">
        <is>
          <t>Barbell Bench Press (4 × 5–7) leads as the main lift, then 2 strength lifts and 3 accessories, with part of it run as a superset.
24 working sets across 6 exercises, about 59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2" s="2" t="n"/>
      <c r="W2" s="2" t="n"/>
    </row>
    <row r="3">
      <c r="A3" s="2" t="inlineStr">
        <is>
          <t>A. No State (level and goal carry the session)</t>
        </is>
      </c>
      <c r="B3" s="2" t="inlineStr">
        <is>
          <t>Upper Push, 60, beginner, build muscle (same seed)</t>
        </is>
      </c>
      <c r="C3" s="2" t="inlineStr">
        <is>
          <t>wes / 2026-10-14</t>
        </is>
      </c>
      <c r="D3" s="2" t="inlineStr">
        <is>
          <t>none</t>
        </is>
      </c>
      <c r="E3" s="2" t="inlineStr">
        <is>
          <t>beginner</t>
        </is>
      </c>
      <c r="F3" s="2" t="inlineStr">
        <is>
          <t>Build muscle</t>
        </is>
      </c>
      <c r="G3" s="2" t="n">
        <v>60</v>
      </c>
      <c r="H3" s="2" t="inlineStr">
        <is>
          <t>Upper Push</t>
        </is>
      </c>
      <c r="I3" s="2" t="inlineStr">
        <is>
          <t>none</t>
        </is>
      </c>
      <c r="J3" s="2" t="inlineStr">
        <is>
          <t>first session</t>
        </is>
      </c>
      <c r="K3" s="2" t="inlineStr">
        <is>
          <t>Upper Push</t>
        </is>
      </c>
      <c r="L3" s="2" t="inlineStr">
        <is>
          <t>Compound + Paired Accessories</t>
        </is>
      </c>
      <c r="M3" s="2" t="n">
        <v>50.9</v>
      </c>
      <c r="N3" s="2" t="n">
        <v>19</v>
      </c>
      <c r="O3" s="2" t="inlineStr"/>
      <c r="P3" s="2" t="inlineStr">
        <is>
          <t>Incline Dumbbell Press: 4 × 6–8  RIR 2  rest 150 s
Seated Dumbbell Shoulder Press: 3 × 10–12  RIR 2  rest 120 s
Push-Up: 3 × 8–12  RIR 2  rest 120 s
SUPERSET A (3 rounds, rest 60 s after each round)
  A1 Pec Deck: 3 × 15–20  RIR 2
  A2 EZ-Bar Skull Crusher: 3 × 15–20  RIR 2
Cable Triceps Pressdown: 3 × 15–20  RIR 2  rest 60 s</t>
        </is>
      </c>
      <c r="Q3" s="2" t="inlineStr">
        <is>
          <t>Since you're newer to lifting, the movements stay approachable and the main work keeps at least two reps in reserve. For muscle, the volume lives in the accessories: 3 movements at moderate reps behind Incline Dumbbell Press.</t>
        </is>
      </c>
      <c r="R3" s="2" t="inlineStr">
        <is>
          <t>Session: Upper Push, variant paired, 6 exercises, 19 working sets, est. 50.9 min for a 60-minute request; primary Incline Dumbbell Press 4 × 6–8 RIR 2; 1 superset(s), device none, methods none, finisher none.
[level] Beginner: ['beginner bands: every lift keeps 2+ reps in reserve, no exercise above 4 sets', 'beginner-rated, low-complexity movements only', 'no advanced set methods'].
[goal] Goal build_muscle: ['Compound + Paired Accessories shape (muscle goal weights it up)', '3 accessory movements behind the main lift, 9 accessory sets in the 10–20 range'].
Compound redundancy trimmed (family limit 1): db_shoulder_press 4 × 10–12 → 3 × 10–12; push_up 4 × 8–12 → 3 × 8–12</t>
        </is>
      </c>
      <c r="S3" s="2" t="inlineStr">
        <is>
          <t>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Compound + Paired Accessories shape (muscle goal weights it up); 3 accessory movements behind the main lift, 9 accessory sets in the 10–20 range
duration = 60 → intended: fill_the_requested_time_with_useful_work → realized: estimated 50.9 min for a 60-minute request
equipment = commercial_gym → intended: availability_only → realized: nothing (no claim made)
history = first session → intended: rotate_shape_and_movements_keep_the_main_lift → realized: nothing (no claim made)</t>
        </is>
      </c>
      <c r="T3" s="2" t="inlineStr">
        <is>
          <t>no State</t>
        </is>
      </c>
      <c r="U3" s="2" t="inlineStr">
        <is>
          <t>Beginner difficulty applies MOOD's beginner exercise rules: all 6 movements are beginner-rated and technically approachable.
Incline Dumbbell Press (4 × 6–8) leads as the main lift, then 2 strength lifts and 3 accessories, with part of it run as a superset.
19 working sets across 6 exercises, about 51 minutes.
Main work stops about 2 reps short of failure.
Your profile goal is to build muscle; today's Strength session is built from today's choices.</t>
        </is>
      </c>
      <c r="V3" s="2" t="n"/>
      <c r="W3" s="2" t="n"/>
    </row>
    <row r="4">
      <c r="A4" s="2" t="inlineStr">
        <is>
          <t>A. No State (level and goal carry the session)</t>
        </is>
      </c>
      <c r="B4" s="2" t="inlineStr">
        <is>
          <t>Upper Push, 60, advanced, build muscle (same seed)</t>
        </is>
      </c>
      <c r="C4" s="2" t="inlineStr">
        <is>
          <t>wes / 2026-10-14</t>
        </is>
      </c>
      <c r="D4" s="2" t="inlineStr">
        <is>
          <t>none</t>
        </is>
      </c>
      <c r="E4" s="2" t="inlineStr">
        <is>
          <t>advanced</t>
        </is>
      </c>
      <c r="F4" s="2" t="inlineStr">
        <is>
          <t>Build muscle</t>
        </is>
      </c>
      <c r="G4" s="2" t="n">
        <v>60</v>
      </c>
      <c r="H4" s="2" t="inlineStr">
        <is>
          <t>Upper Push</t>
        </is>
      </c>
      <c r="I4" s="2" t="inlineStr">
        <is>
          <t>none</t>
        </is>
      </c>
      <c r="J4" s="2" t="inlineStr">
        <is>
          <t>first session</t>
        </is>
      </c>
      <c r="K4" s="2" t="inlineStr">
        <is>
          <t>Upper Push</t>
        </is>
      </c>
      <c r="L4" s="2" t="inlineStr">
        <is>
          <t>Compound + Paired Accessories</t>
        </is>
      </c>
      <c r="M4" s="2" t="n">
        <v>59.3</v>
      </c>
      <c r="N4" s="2" t="n">
        <v>24</v>
      </c>
      <c r="O4" s="2" t="inlineStr"/>
      <c r="P4" s="2" t="inlineStr">
        <is>
          <t>Barbell Bench Press: 4 × 5–7  RIR 1  rest 180 s
Parallel Bar Dip: 4 × 8–10  RIR 2  rest 120 s
Smith Machine Incline Press: 4 × 8–10  RIR 2  rest 120 s
SUPERSET A (4 rounds, rest 60 s after each round)
  A1 Dumbbell Fly: 4 × 12–15  RIR 1
  A2 Cable Triceps Pressdown: 4 × 12–15  RIR 1
EZ-Bar Skull Crusher: 4 × 12–15  RIR 1  rest 60 s</t>
        </is>
      </c>
      <c r="Q4" s="2" t="inlineStr">
        <is>
          <t>Since you're an advanced lifter, Barbell Bench Press runs to a rep from failure. For muscle, the volume lives in the accessories: 3 movements at moderate reps behind Barbell Bench Press.</t>
        </is>
      </c>
      <c r="R4" s="2" t="inlineStr">
        <is>
          <t>Session: Upper Push, variant paired, 6 exercises, 24 working sets, est. 59.3 min for a 60-minute request; primary Barbell Bench Press 4 × 5–7 RIR 1; 1 superset(s), device none, methods none, finisher none.
[level] Advanced: ['Barbell Bench Press runs to RIR 1 (advanced band position)', 'higher-complexity movements kept in: Barbell Bench Press, Parallel Bar Dip'].
[goal] Goal build_muscle: ['Compound + Paired Accessories shape (muscle goal weights it up)', '3 accessory movements behind the main lift, 12 accessory sets in the 10–20 range'].
Within a rep of failure: Barbell Bench Press, Dumbbell Fly, Cable Triceps Pressdown, EZ-Bar Skull Crusher.</t>
        </is>
      </c>
      <c r="S4" s="2" t="inlineStr">
        <is>
          <t>experience = advanced → intended: match_programming_vocabulary_to_level → realized: Barbell Bench Press runs to RIR 1 (advanced band position); higher-complexity movements kept in: Barbell Bench Press, Parallel Bar Dip
goal = build_muscle → intended: hypertrophy_volume_and_accessories → realized: Compound + Paired Accessories shape (muscle goal weights it up); 3 accessory movements behind the main lift, 12 accessory sets in the 10–20 range
duration = 60 → intended: fill_the_requested_time_with_useful_work → realized: estimated 59.3 min for a 60-minute request
equipment = commercial_gym → intended: availability_only → realized: nothing (no claim made)
history = first session → intended: rotate_shape_and_movements_keep_the_main_lift → realized: nothing (no claim made)</t>
        </is>
      </c>
      <c r="T4" s="2" t="inlineStr">
        <is>
          <t>no State</t>
        </is>
      </c>
      <c r="U4" s="2" t="inlineStr">
        <is>
          <t>Barbell Bench Press (4 × 5–7) leads as the main lift, then 2 strength lifts and 3 accessories, with part of it run as a superset.
24 working sets across 6 exercises, about 59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V4" s="2" t="n"/>
      <c r="W4" s="2" t="n"/>
    </row>
    <row r="5">
      <c r="A5" s="2" t="inlineStr">
        <is>
          <t>A. No State (level and goal carry the session)</t>
        </is>
      </c>
      <c r="B5" s="2" t="inlineStr">
        <is>
          <t>Lower Body: Squat, 60, intermediate, build strength</t>
        </is>
      </c>
      <c r="C5" s="2" t="inlineStr">
        <is>
          <t>wes / 2026-10-15</t>
        </is>
      </c>
      <c r="D5" s="2" t="inlineStr">
        <is>
          <t>none</t>
        </is>
      </c>
      <c r="E5" s="2" t="inlineStr">
        <is>
          <t>intermediate</t>
        </is>
      </c>
      <c r="F5" s="2" t="inlineStr">
        <is>
          <t>Build strength</t>
        </is>
      </c>
      <c r="G5" s="2" t="n">
        <v>60</v>
      </c>
      <c r="H5" s="2" t="inlineStr">
        <is>
          <t>Lower Body: Squat</t>
        </is>
      </c>
      <c r="I5" s="2" t="inlineStr">
        <is>
          <t>none</t>
        </is>
      </c>
      <c r="J5" s="2" t="inlineStr">
        <is>
          <t>first session</t>
        </is>
      </c>
      <c r="K5" s="2" t="inlineStr">
        <is>
          <t>Lower Body: Squat</t>
        </is>
      </c>
      <c r="L5" s="2" t="inlineStr">
        <is>
          <t>Traditional</t>
        </is>
      </c>
      <c r="M5" s="2" t="n">
        <v>57.1</v>
      </c>
      <c r="N5" s="2" t="n">
        <v>18</v>
      </c>
      <c r="O5" s="2" t="inlineStr"/>
      <c r="P5" s="2" t="inlineStr">
        <is>
          <t>Hack Squat: 4 × 5–7  RIR 2  rest 210 s
Curtsy Lunge: 4 × 8–10/side  RIR 2  rest 120 s
Bulgarian Split Squat: 4 × 8–10/side  RIR 2  rest 120 s
Reverse Nordic Curl: 3 × 12–15  RIR 1  rest 60 s
Roman Chair / GHD Glute-Ham Raise: 3 × 10–12  RIR 1  rest 60 s</t>
        </is>
      </c>
      <c r="Q5" s="2" t="inlineStr">
        <is>
          <t>Strength is the goal, so Hack Squat gets the priority and full rest; everything else supports it.</t>
        </is>
      </c>
      <c r="R5" s="2" t="inlineStr">
        <is>
          <t>Session: Lower Body: Squat, variant traditional, 5 exercises, 18 working sets, est. 57.1 min for a 60-minute request; primary Hack Squat 4 × 5–7 RIR 2; 0 superset(s), device none, methods none, finisher none.
[goal] Goal build_strength: ['Hack Squat at 5–7 with full 210 s rest'].
Within a rep of failure: Reverse Nordic Curl, Roman Chair / GHD Glute-Ham Raise.
Demanding compounds (systemic 4+): Bulgarian Split Squat.</t>
        </is>
      </c>
      <c r="S5" s="2" t="inlineStr">
        <is>
          <t>experience = intermediate → intended: match_programming_vocabulary_to_level → realized: intermediate pool: Curtsy Lunge, Bulgarian Split Squat, Roman Chair / GHD Glute-Ham Raise
goal = build_strength → intended: primary_emphasis_heavier_longer_rest → realized: Hack Squat at 5–7 with full 210 s rest
duration = 60 → intended: fill_the_requested_time_with_useful_work → realized: estimated 57.1 min for a 60-minute request
equipment = commercial_gym → intended: availability_only → realized: nothing (no claim made)
history = first session → intended: rotate_shape_and_movements_keep_the_main_lift → realized: nothing (no claim made)</t>
        </is>
      </c>
      <c r="T5" s="2" t="inlineStr">
        <is>
          <t>no State</t>
        </is>
      </c>
      <c r="U5" s="2" t="inlineStr">
        <is>
          <t>Hack Squat (4 × 5–7) leads as the main lift, then 2 strength lifts and 2 accessories.
18 working sets across 5 exercises, about 57 minutes.
Main work stops about 2 reps short of failure, accessories about 1 rep short of failure.
Intermediate difficulty: every movement is within the intermediate complexity and skill limits.
Your profile goal is to build strength; today's Strength session is built from today's choices.</t>
        </is>
      </c>
      <c r="V5" s="2" t="n"/>
      <c r="W5" s="2" t="n"/>
    </row>
    <row r="6">
      <c r="A6" s="2" t="inlineStr">
        <is>
          <t>A. No State (level and goal carry the session)</t>
        </is>
      </c>
      <c r="B6" s="2" t="inlineStr">
        <is>
          <t>Lower Body: Squat, 60, intermediate, build muscle (same seed)</t>
        </is>
      </c>
      <c r="C6" s="2" t="inlineStr">
        <is>
          <t>wes / 2026-10-15</t>
        </is>
      </c>
      <c r="D6" s="2" t="inlineStr">
        <is>
          <t>none</t>
        </is>
      </c>
      <c r="E6" s="2" t="inlineStr">
        <is>
          <t>intermediate</t>
        </is>
      </c>
      <c r="F6" s="2" t="inlineStr">
        <is>
          <t>Build muscle</t>
        </is>
      </c>
      <c r="G6" s="2" t="n">
        <v>60</v>
      </c>
      <c r="H6" s="2" t="inlineStr">
        <is>
          <t>Lower Body: Squat</t>
        </is>
      </c>
      <c r="I6" s="2" t="inlineStr">
        <is>
          <t>none</t>
        </is>
      </c>
      <c r="J6" s="2" t="inlineStr">
        <is>
          <t>first session</t>
        </is>
      </c>
      <c r="K6" s="2" t="inlineStr">
        <is>
          <t>Lower Body: Squat</t>
        </is>
      </c>
      <c r="L6" s="2" t="inlineStr">
        <is>
          <t>Traditional</t>
        </is>
      </c>
      <c r="M6" s="2" t="n">
        <v>58.1</v>
      </c>
      <c r="N6" s="2" t="n">
        <v>20</v>
      </c>
      <c r="O6" s="2" t="inlineStr"/>
      <c r="P6" s="2" t="inlineStr">
        <is>
          <t>Hack Squat: 4 × 5–7  RIR 2  rest 165 s
Curtsy Lunge: 4 × 8–10/side  RIR 2  rest 120 s
Bulgarian Split Squat: 4 × 8–10/side  RIR 2  rest 120 s
Reverse Nordic Curl: 4 × 12–15  RIR 1  rest 60 s
Roman Chair / GHD Glute-Ham Raise: 4 × 10–12  RIR 1  rest 60 s</t>
        </is>
      </c>
      <c r="Q6" s="2" t="inlineStr">
        <is>
          <t>For muscle, the volume lives in the accessories: 2 movements at moderate reps behind Hack Squat.</t>
        </is>
      </c>
      <c r="R6" s="2" t="inlineStr">
        <is>
          <t>Session: Lower Body: Squat, variant traditional, 5 exercises, 20 working sets, est. 58.1 min for a 60-minute request; primary Hack Squat 4 × 5–7 RIR 2; 0 superset(s), device none, methods none, finisher none.
[goal] Goal build_muscle: ['2 accessory movements behind the main lift, 8 accessory sets in the 10–20 range'].
Within a rep of failure: Reverse Nordic Curl, Roman Chair / GHD Glute-Ham Raise.
Demanding compounds (systemic 4+): Bulgarian Split Squat.</t>
        </is>
      </c>
      <c r="S6" s="2" t="inlineStr">
        <is>
          <t>experience = intermediate → intended: match_programming_vocabulary_to_level → realized: intermediate pool: Curtsy Lunge, Bulgarian Split Squat, Roman Chair / GHD Glute-Ham Raise
goal = build_muscle → intended: hypertrophy_volume_and_accessories → realized: 2 accessory movements behind the main lift, 8 accessory sets in the 10–20 range
duration = 60 → intended: fill_the_requested_time_with_useful_work → realized: estimated 58.1 min for a 60-minute request
equipment = commercial_gym → intended: availability_only → realized: nothing (no claim made)
history = first session → intended: rotate_shape_and_movements_keep_the_main_lift → realized: nothing (no claim made)</t>
        </is>
      </c>
      <c r="T6" s="2" t="inlineStr">
        <is>
          <t>no State</t>
        </is>
      </c>
      <c r="U6" s="2" t="inlineStr">
        <is>
          <t>Hack Squat (4 × 5–7) leads as the main lift, then 2 strength lifts and 2 accessories.
20 working sets across 5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6" s="2" t="n"/>
      <c r="W6" s="2" t="n"/>
    </row>
    <row r="7">
      <c r="A7" s="2" t="inlineStr">
        <is>
          <t>A. No State (level and goal carry the session)</t>
        </is>
      </c>
      <c r="B7" s="2" t="inlineStr">
        <is>
          <t>Lower Body: Squat, 60, intermediate, lose weight / conditioning (same seed)</t>
        </is>
      </c>
      <c r="C7" s="2" t="inlineStr">
        <is>
          <t>wes / 2026-10-15</t>
        </is>
      </c>
      <c r="D7" s="2" t="inlineStr">
        <is>
          <t>none</t>
        </is>
      </c>
      <c r="E7" s="2" t="inlineStr">
        <is>
          <t>intermediate</t>
        </is>
      </c>
      <c r="F7" s="2" t="inlineStr">
        <is>
          <t>Lose weight / conditioning</t>
        </is>
      </c>
      <c r="G7" s="2" t="n">
        <v>60</v>
      </c>
      <c r="H7" s="2" t="inlineStr">
        <is>
          <t>Lower Body: Squat</t>
        </is>
      </c>
      <c r="I7" s="2" t="inlineStr">
        <is>
          <t>none</t>
        </is>
      </c>
      <c r="J7" s="2" t="inlineStr">
        <is>
          <t>first session</t>
        </is>
      </c>
      <c r="K7" s="2" t="inlineStr">
        <is>
          <t>Lower Body: Squat</t>
        </is>
      </c>
      <c r="L7" s="2" t="inlineStr">
        <is>
          <t>Traditional</t>
        </is>
      </c>
      <c r="M7" s="2" t="n">
        <v>54.1</v>
      </c>
      <c r="N7" s="2" t="n">
        <v>18</v>
      </c>
      <c r="O7" s="2" t="inlineStr"/>
      <c r="P7" s="2" t="inlineStr">
        <is>
          <t>Hack Squat: 4 × 5–7  RIR 2  rest 180 s
Curtsy Lunge: 4 × 8–10/side  RIR 2  rest 105 s
Bulgarian Split Squat: 4 × 8–10/side  RIR 2  rest 105 s
Reverse Nordic Curl: 3 × 12–15  RIR 1  rest 60 s
Roman Chair / GHD Glute-Ham Raise: 3 × 10–12  RIR 1  rest 60 s</t>
        </is>
      </c>
      <c r="Q7" s="2" t="inlineStr">
        <is>
          <t>Your conditioning goal keeps the accessory rests short so the session keeps moving.</t>
        </is>
      </c>
      <c r="R7" s="2" t="inlineStr">
        <is>
          <t>Session: Lower Body: Squat, variant traditional, 5 exercises, 18 working sets, est. 54.1 min for a 60-minute request; primary Hack Squat 4 × 5–7 RIR 2; 0 superset(s), device none, methods none, finisher none.
[goal] Goal lose_weight_conditioning: ['short rests on the accessories (60 s)'].
Within a rep of failure: Reverse Nordic Curl, Roman Chair / GHD Glute-Ham Raise.
Demanding compounds (systemic 4+): Bulgarian Split Squat.</t>
        </is>
      </c>
      <c r="S7" s="2" t="inlineStr">
        <is>
          <t>experience = intermediate → intended: match_programming_vocabulary_to_level → realized: intermediate pool: Curtsy Lunge, Bulgarian Split Squat, Roman Chair / GHD Glute-Ham Raise
goal = lose_weight_conditioning → intended: density_short_rests_paired_work → realized: short rests on the accessories (60 s)
duration = 60 → intended: fill_the_requested_time_with_useful_work → realized: estimated 54.1 min for a 60-minute request
equipment = commercial_gym → intended: availability_only → realized: nothing (no claim made)
history = first session → intended: rotate_shape_and_movements_keep_the_main_lift → realized: nothing (no claim made)</t>
        </is>
      </c>
      <c r="T7" s="2" t="inlineStr">
        <is>
          <t>no State</t>
        </is>
      </c>
      <c r="U7" s="2" t="inlineStr">
        <is>
          <t>Hack Squat (4 × 5–7) leads as the main lift, then 2 strength lifts and 2 accessories.
18 working sets across 5 exercises, about 54 minutes.
Main work stops about 2 reps short of failure, accessories about 1 rep short of failure.
Intermediate difficulty: every movement is within the intermediate complexity and skill limits.
Your profile goal is to lose weight and build conditioning; today's Strength session is built from today's choices.</t>
        </is>
      </c>
      <c r="V7" s="2" t="n"/>
      <c r="W7" s="2" t="n"/>
    </row>
    <row r="8">
      <c r="A8" s="2" t="inlineStr">
        <is>
          <t>A. No State (level and goal carry the session)</t>
        </is>
      </c>
      <c r="B8" s="2" t="inlineStr">
        <is>
          <t>Upper Pull, 60, advanced, improve athleticism</t>
        </is>
      </c>
      <c r="C8" s="2" t="inlineStr">
        <is>
          <t>wes / 2026-10-16</t>
        </is>
      </c>
      <c r="D8" s="2" t="inlineStr">
        <is>
          <t>none</t>
        </is>
      </c>
      <c r="E8" s="2" t="inlineStr">
        <is>
          <t>advanced</t>
        </is>
      </c>
      <c r="F8" s="2" t="inlineStr">
        <is>
          <t>Improve athleticism</t>
        </is>
      </c>
      <c r="G8" s="2" t="n">
        <v>60</v>
      </c>
      <c r="H8" s="2" t="inlineStr">
        <is>
          <t>Upper Pull</t>
        </is>
      </c>
      <c r="I8" s="2" t="inlineStr">
        <is>
          <t>none</t>
        </is>
      </c>
      <c r="J8" s="2" t="inlineStr">
        <is>
          <t>first session</t>
        </is>
      </c>
      <c r="K8" s="2" t="inlineStr">
        <is>
          <t>Upper Pull</t>
        </is>
      </c>
      <c r="L8" s="2" t="inlineStr">
        <is>
          <t>Heavy Primary</t>
        </is>
      </c>
      <c r="M8" s="2" t="n">
        <v>56.2</v>
      </c>
      <c r="N8" s="2" t="n">
        <v>17</v>
      </c>
      <c r="O8" s="2" t="inlineStr">
        <is>
          <t>drop_set</t>
        </is>
      </c>
      <c r="P8" s="2" t="inlineStr">
        <is>
          <t>Chest-Supported Machine Row: 5 × 4–6  RIR 1  rest 240 s
Pull-Up: 4 × 6–8  RIR 2  rest 135 s
Bent-Over Dumbbell Row (Two-Arm): 4 × 6–8  RIR 2  rest 135 s
Dumbbell Pullover: 2 × 10–12 · drop set on the final set  RIR 1  (On the last set, hit the reps, drop the load about 25% and go again to the same reps-in-reserve. Stop each set with about 1 rep left in the tank.)  rest 60 s
EZ-Bar Preacher Curl: 2 × 10–12  RIR 1  rest 60 s</t>
        </is>
      </c>
      <c r="Q8" s="2" t="inlineStr">
        <is>
          <t>You're advanced, so we're keeping drop set on the final set on Dumbbell Pullover in the mix. Your athleticism goal keeps Chest-Supported Machine Row heavy and fast with full rest.</t>
        </is>
      </c>
      <c r="R8" s="2" t="inlineStr">
        <is>
          <t>Session: Upper Pull, variant heavy_primary, 5 exercises, 17 working sets, est. 56.2 min for a 60-minute request; primary Chest-Supported Machine Row 5 × 4–6 RIR 1; 0 superset(s), device none, methods ['drop set on the final set on Dumbbell Pullover'], finisher none.
[level] Advanced: ['drop set on the final set on Dumbbell Pullover', 'Chest-Supported Machine Row runs to RIR 1 (advanced band position)', 'higher-complexity movements kept in: Pull-Up', 'Heavy Primary shape'].
[goal] Goal improve_athleticism: ['Chest-Supported Machine Row kept heavy (4–6) with full rest', 'Heavy Primary shape'].
Within a rep of failure: Chest-Supported Machine Row, Dumbbell Pullover, EZ-Bar Preacher Curl.</t>
        </is>
      </c>
      <c r="S8" s="2" t="inlineStr">
        <is>
          <t>experience = advanced → intended: match_programming_vocabulary_to_level → realized: drop set on the final set on Dumbbell Pullover; Chest-Supported Machine Row runs to RIR 1 (advanced band position); higher-complexity movements kept in: Pull-Up; Heavy Primary shape
goal = improve_athleticism → intended: heavy_primary_with_intent → realized: Chest-Supported Machine Row kept heavy (4–6) with full rest; Heavy Primary shape
duration = 60 → intended: fill_the_requested_time_with_useful_work → realized: estimated 56.2 min for a 60-minute request
equipment = commercial_gym → intended: availability_only → realized: nothing (no claim made)
history = first session → intended: rotate_shape_and_movements_keep_the_main_lift → realized: nothing (no claim made)</t>
        </is>
      </c>
      <c r="T8" s="2" t="inlineStr">
        <is>
          <t>no State</t>
        </is>
      </c>
      <c r="U8" s="2" t="inlineStr">
        <is>
          <t>Chest-Supported Machine Row (5 × 4–6) leads as the main lift, then 2 strength lifts and 2 accessories.
17 working sets across 5 exercises, about 56 minutes.
Main work stops about 1 rep short of failure.
Advanced difficulty keeps the full exercise range open; today the best fits sit within it without needing the most complex options.
Your profile goal is to improve athleticism; today's Strength session is built from today's choices.</t>
        </is>
      </c>
      <c r="V8" s="2" t="n"/>
      <c r="W8" s="2" t="n"/>
    </row>
    <row r="9">
      <c r="A9" s="2" t="inlineStr">
        <is>
          <t>A. No State (level and goal carry the session)</t>
        </is>
      </c>
      <c r="B9" s="2" t="inlineStr">
        <is>
          <t>Glutes + Legs, 60, beginner, feel better</t>
        </is>
      </c>
      <c r="C9" s="2" t="inlineStr">
        <is>
          <t>wes / 2026-10-17</t>
        </is>
      </c>
      <c r="D9" s="2" t="inlineStr">
        <is>
          <t>none</t>
        </is>
      </c>
      <c r="E9" s="2" t="inlineStr">
        <is>
          <t>beginner</t>
        </is>
      </c>
      <c r="F9" s="2" t="inlineStr">
        <is>
          <t>Feel better / reduce stress</t>
        </is>
      </c>
      <c r="G9" s="2" t="n">
        <v>60</v>
      </c>
      <c r="H9" s="2" t="inlineStr">
        <is>
          <t>Glutes + Legs</t>
        </is>
      </c>
      <c r="I9" s="2" t="inlineStr">
        <is>
          <t>none</t>
        </is>
      </c>
      <c r="J9" s="2" t="inlineStr">
        <is>
          <t>first session</t>
        </is>
      </c>
      <c r="K9" s="2" t="inlineStr">
        <is>
          <t>Glutes + Legs</t>
        </is>
      </c>
      <c r="L9" s="2" t="inlineStr">
        <is>
          <t>Traditional</t>
        </is>
      </c>
      <c r="M9" s="2" t="n">
        <v>55.4</v>
      </c>
      <c r="N9" s="2" t="n">
        <v>16</v>
      </c>
      <c r="O9" s="2" t="inlineStr"/>
      <c r="P9" s="2" t="inlineStr">
        <is>
          <t>Barbell Hip Thrust: 4 × 6–8  RIR 3  (Stop each set with about 3 reps left in the tank.)  rest 150 s
Pit Shark Belt Squat: 4 × 8–10  RIR 3  (Stop each set with about 3 reps left in the tank.)  rest 120 s
Reverse Lunge: 4 × 8–10/side  RIR 3  (Stop each set with about 3 reps left in the tank.)  rest 120 s
Cable Glute Kickback: 2 × 12–15/side  RIR 2  rest 60 s
Seated Leg Curl: 2 × 12–15  RIR 2  rest 60 s
FINISHER  Farmer Carry: 3 × 30 m  RIR 1  rest 60 s</t>
        </is>
      </c>
      <c r="Q9" s="2" t="inlineStr">
        <is>
          <t>Since you're newer to lifting, the movements stay approachable and the main work keeps at least two reps in reserve. Your feel-better goal keeps the compound work two reps from failure: steady, not grinding.</t>
        </is>
      </c>
      <c r="R9" s="2" t="inlineStr">
        <is>
          <t>Session: Glutes + Legs, variant traditional, 5 exercises, 16 working sets, est. 55.4 min for a 60-minute request; primary Barbell Hip Thrust 4 × 6–8 RIR 3; 0 superset(s), device none, methods none, finisher Farmer Carry (carry).
[level] Beginner: ['beginner bands: every lift keeps 2+ reps in reserve, no exercise above 4 sets', 'beginner-rated, low-complexity movements only', 'no advanced set methods'].
[goal] Goal feel_better_reduce_stress: ['Traditional shape (feel-better goal weights it up)', 'compound work stays 2+ reps from failure'].</t>
        </is>
      </c>
      <c r="S9" s="2" t="inlineStr">
        <is>
          <t>experience = beginner → intended: match_programming_vocabulary_to_level → realized: beginner bands: every lift keeps 2+ reps in reserve, no exercise above 4 sets; beginner-rated, low-complexity movements only; no advanced set methods
goal = feel_better_reduce_stress → intended: steady_effort_away_from_failure → realized: Traditional shape (feel-better goal weights it up); compound work stays 2+ reps from failure
duration = 60 → intended: fill_the_requested_time_with_useful_work → realized: estimated 55.4 min for a 60-minute request
equipment = commercial_gym → intended: availability_only → realized: nothing (no claim made)
history = first session → intended: rotate_shape_and_movements_keep_the_main_lift → realized: nothing (no claim made)</t>
        </is>
      </c>
      <c r="T9" s="2" t="inlineStr">
        <is>
          <t>no State</t>
        </is>
      </c>
      <c r="U9" s="2" t="inlineStr">
        <is>
          <t>Beginner difficulty applies MOOD's beginner exercise rules: all 6 movements are beginner-rated and technically approachable.
Barbell Hip Thrust (4 × 6–8) leads as the main lift, then 2 strength lifts and 2 accessories.
19 working sets across 6 exercises, about 55 minutes.
Main work stops about 3 reps short of failure, accessories about 2 reps short of failure.
Your profile goal is to feel better and manage stress; today's Strength session is built from today's choices.</t>
        </is>
      </c>
      <c r="V9" s="2" t="n"/>
      <c r="W9" s="2" t="n"/>
    </row>
    <row r="10">
      <c r="A10" s="2" t="inlineStr">
        <is>
          <t>A. No State (level and goal carry the session)</t>
        </is>
      </c>
      <c r="B10" s="2" t="inlineStr">
        <is>
          <t>MOOD's Pick, 30, intermediate, stay consistent (first session)</t>
        </is>
      </c>
      <c r="C10" s="2" t="inlineStr">
        <is>
          <t>wes / 2026-10-18</t>
        </is>
      </c>
      <c r="D10" s="2" t="inlineStr">
        <is>
          <t>none</t>
        </is>
      </c>
      <c r="E10" s="2" t="inlineStr">
        <is>
          <t>intermediate</t>
        </is>
      </c>
      <c r="F10" s="2" t="inlineStr">
        <is>
          <t>Stay consistent</t>
        </is>
      </c>
      <c r="G10" s="2" t="n">
        <v>30</v>
      </c>
      <c r="H10" s="2" t="inlineStr">
        <is>
          <t>MOOD's Pick</t>
        </is>
      </c>
      <c r="I10" s="2" t="inlineStr">
        <is>
          <t>none</t>
        </is>
      </c>
      <c r="J10" s="2" t="inlineStr">
        <is>
          <t>first session</t>
        </is>
      </c>
      <c r="K10" s="2" t="inlineStr">
        <is>
          <t>Glutes + Legs</t>
        </is>
      </c>
      <c r="L10" s="2" t="inlineStr">
        <is>
          <t>Efficient</t>
        </is>
      </c>
      <c r="M10" s="2" t="n">
        <v>26.8</v>
      </c>
      <c r="N10" s="2" t="n">
        <v>10</v>
      </c>
      <c r="O10" s="2" t="inlineStr"/>
      <c r="P10" s="2" t="inlineStr">
        <is>
          <t>Barbell Hip Thrust: 3 × 5–7  RIR 2  rest 135 s
Trap-Bar Deadlift: 3 × 8–10  RIR 2  rest 90 s
Cable Glute Kickback: 2 × 10–12/side  RIR 1  rest 45 s
Leg Extension: 2 × 10–12  RIR 1  rest 45 s</t>
        </is>
      </c>
      <c r="Q10" s="2" t="inlineStr">
        <is>
          <t>(no synthesised line)</t>
        </is>
      </c>
      <c r="R10" s="2" t="inlineStr">
        <is>
          <t>Session: Glutes + Legs, variant efficient, 4 exercises, 10 working sets, est. 26.8 min for a 30-minute request; primary Barbell Hip Thrust 3 × 5–7 RIR 2; 0 superset(s), device none, methods none, finisher none.
Within a rep of failure: Cable Glute Kickback, Leg Extension.
Demanding compounds (systemic 4+): Trap-Bar Deadlift.</t>
        </is>
      </c>
      <c r="S10" s="2" t="inlineStr">
        <is>
          <t>experience = intermediate → intended: match_programming_vocabulary_to_level → realized: intermediate pool: Trap-Bar Deadlift
goal = stay_consistent → intended: balanced_general_strength → realized: nothing (no claim made)
duration = 30 → intended: fill_the_requested_time_with_useful_work → realized: filled toward the requested time: slot_added Leg Extension; 30-minute session: 4 exercises, 10 working sets, main work kept; estimated 26.8 min for a 30-minute request
equipment = commercial_gym → intended: availability_only → realized: nothing (no claim made)
history = first session → intended: rotate_shape_and_movements_keep_the_main_lift → realized: nothing (no claim made)</t>
        </is>
      </c>
      <c r="T10" s="2" t="inlineStr">
        <is>
          <t>no State</t>
        </is>
      </c>
      <c r="U10" s="2" t="inlineStr">
        <is>
          <t>30 minutes: 4 exercises and 10 working sets, with the main work kept.
Barbell Hip Thrust (3 × 5–7) leads as the main lift, then 1 strength lift and 2 accessories.
10 working sets across 4 exercises, about 27 minutes.
Main work stops about 2 reps short of failure, accessories about 1 rep short of failure.
Intermediate difficulty: every movement is within the intermediate complexity and skill limits.
MOOD's Pick follows its standard rotation for 3 to 4 Strength days a week.</t>
        </is>
      </c>
      <c r="V10" s="2" t="n"/>
      <c r="W10" s="2" t="n"/>
    </row>
    <row r="11">
      <c r="A11" s="2" t="inlineStr">
        <is>
          <t>A. No State (level and goal carry the session)</t>
        </is>
      </c>
      <c r="B11" s="2" t="inlineStr">
        <is>
          <t>Full Body, 60, intermediate, build muscle</t>
        </is>
      </c>
      <c r="C11" s="2" t="inlineStr">
        <is>
          <t>wes / 2026-10-19</t>
        </is>
      </c>
      <c r="D11" s="2" t="inlineStr">
        <is>
          <t>none</t>
        </is>
      </c>
      <c r="E11" s="2" t="inlineStr">
        <is>
          <t>intermediate</t>
        </is>
      </c>
      <c r="F11" s="2" t="inlineStr">
        <is>
          <t>Build muscle</t>
        </is>
      </c>
      <c r="G11" s="2" t="n">
        <v>60</v>
      </c>
      <c r="H11" s="2" t="inlineStr">
        <is>
          <t>Full Body</t>
        </is>
      </c>
      <c r="I11" s="2" t="inlineStr">
        <is>
          <t>none</t>
        </is>
      </c>
      <c r="J11" s="2" t="inlineStr">
        <is>
          <t>first session</t>
        </is>
      </c>
      <c r="K11" s="2" t="inlineStr">
        <is>
          <t>Full Body</t>
        </is>
      </c>
      <c r="L11" s="2" t="inlineStr">
        <is>
          <t>Heavy Primary</t>
        </is>
      </c>
      <c r="M11" s="2" t="n">
        <v>58.4</v>
      </c>
      <c r="N11" s="2" t="n">
        <v>16</v>
      </c>
      <c r="O11" s="2" t="inlineStr">
        <is>
          <t>pause</t>
        </is>
      </c>
      <c r="P11" s="2" t="inlineStr">
        <is>
          <t>Barbell Romanian Deadlift: 5 × 4–6 · paused reps  RIR 2  (Pause 2 s at the hardest point of every rep, then drive out of it. Stop each set with about 2 reps left in the tank.)  rest 225 s
Renegade Row: 4 × 8–10/side  RIR 2  rest 135 s
Pull-Up: 4 × 8–10  RIR 2  rest 135 s
Pallof Press: 3 × 10–12/side  RIR 1  rest 60 s</t>
        </is>
      </c>
      <c r="Q11" s="2" t="inlineStr">
        <is>
          <t>As an intermediate lifter, paused reps on Barbell Romanian Deadlift is on the table. For muscle, the volume lives in the accessory: 1 movement at moderate reps behind Barbell Romanian Deadlift.</t>
        </is>
      </c>
      <c r="R11" s="2" t="inlineStr">
        <is>
          <t>Session: Full Body, variant heavy_primary, 4 exercises, 16 working sets, est. 58.4 min for a 60-minute request; primary Barbell Romanian Deadlift 5 × 4–6 RIR 2; 0 superset(s), device none, methods ['paused reps on Barbell Romanian Deadlift'], finisher none.
[level] Intermediate: ['paused reps on Barbell Romanian Deadlift (intermediate and up)', 'intermediate pool: Barbell Romanian Deadlift, Renegade Row, Pull-Up'].
[goal] Goal build_muscle: ['1 accessory movement behind the main lift, 3 accessory sets in the 10–20 range'].
Within a rep of failure: Pallof Press.
Demanding compounds (systemic 4+): Barbell Romanian Deadlift.</t>
        </is>
      </c>
      <c r="S11" s="2" t="inlineStr">
        <is>
          <t>experience = intermediate → intended: match_programming_vocabulary_to_level → realized: paused reps on Barbell Romanian Deadlift (intermediate and up); intermediate pool: Barbell Romanian Deadlift, Renegade Row, Pull-Up
goal = build_muscle → intended: hypertrophy_volume_and_accessories → realized: 1 accessory movement behind the main lift, 3 accessory sets in the 10–20 range
duration = 60 → intended: fill_the_requested_time_with_useful_work → realized: estimated 58.4 min for a 60-minute request
equipment = commercial_gym → intended: availability_only → realized: nothing (no claim made)
history = first session → intended: rotate_shape_and_movements_keep_the_main_lift → realized: nothing (no claim made)</t>
        </is>
      </c>
      <c r="T11" s="2" t="inlineStr">
        <is>
          <t>no State</t>
        </is>
      </c>
      <c r="U11" s="2" t="inlineStr">
        <is>
          <t>Barbell Romanian Deadlift (5 × 4–6 · paused reps) leads as the main lift, then 2 strength lifts and 1 accessory.
16 working sets across 4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11" s="2" t="n"/>
      <c r="W11" s="2" t="n"/>
    </row>
    <row r="12">
      <c r="A12" s="2" t="inlineStr">
        <is>
          <t>B. Low Energy</t>
        </is>
      </c>
      <c r="B12" s="2" t="inlineStr">
        <is>
          <t>Upper Push, 60, intermediate</t>
        </is>
      </c>
      <c r="C12" s="2" t="inlineStr">
        <is>
          <t>wes / 2026-10-14</t>
        </is>
      </c>
      <c r="D12" s="2" t="inlineStr">
        <is>
          <t>low_energy</t>
        </is>
      </c>
      <c r="E12" s="2" t="inlineStr">
        <is>
          <t>intermediate</t>
        </is>
      </c>
      <c r="F12" s="2" t="inlineStr">
        <is>
          <t>Build muscle</t>
        </is>
      </c>
      <c r="G12" s="2" t="n">
        <v>60</v>
      </c>
      <c r="H12" s="2" t="inlineStr">
        <is>
          <t>Upper Push</t>
        </is>
      </c>
      <c r="I12" s="2" t="inlineStr">
        <is>
          <t>none</t>
        </is>
      </c>
      <c r="J12" s="2" t="inlineStr">
        <is>
          <t>first session</t>
        </is>
      </c>
      <c r="K12" s="2" t="inlineStr">
        <is>
          <t>Upper Push</t>
        </is>
      </c>
      <c r="L12" s="2" t="inlineStr">
        <is>
          <t>Compound + Paired Accessories</t>
        </is>
      </c>
      <c r="M12" s="2" t="n">
        <v>51.5</v>
      </c>
      <c r="N12" s="2" t="n">
        <v>18</v>
      </c>
      <c r="O12" s="2" t="inlineStr"/>
      <c r="P12" s="2" t="inlineStr">
        <is>
          <t>Barbell Bench Press: 4 × 5–7  RIR 3  (Stop each set with about 3 reps left in the tank.)  rest 180 s
Parallel Bar Dip: 4 × 10–12  RIR 3  (Stop each set with about 3 reps left in the tank.)  rest 120 s
Plate-Loaded Incline Press: 4 × 10–12  RIR 3  (Stop each set with about 3 reps left in the tank.)  rest 120 s
SUPERSET A (2 rounds, rest 60 s after each round)
  A1 Dumbbell Fly: 2 × 12–15  RIR 2
  A2 Machine Triceps Extension: 2 × 12–15  RIR 2
Overhead Cable Triceps Extension: 2 × 12–15  RIR 2  rest 60 s</t>
        </is>
      </c>
      <c r="Q12" s="2" t="inlineStr">
        <is>
          <t>You're low on energy today, so we're keeping you further from failure, leaning into stable, low-friction movements and keeping the main lifts at moderate loads. For muscle, the volume lives in the accessories: 3 movements at moderate reps behind Barbell Bench Press.</t>
        </is>
      </c>
      <c r="R12" s="2" t="inlineStr">
        <is>
          <t>Session: Upper Push, variant paired, 6 exercises, 18 working sets, est. 51.5 min for a 60-minute request; primary Barbell Bench Press 4 × 5–7 RIR 3; 1 superset(s), device none, methods none, finisher none.
[le] Low Energy realized ['rir', 'exercises', 'reps']; total sets 18, avg RIR raised, near failure [].
[goal] Goal build_muscle: ['Compound + Paired Accessories shape (muscle goal weights it up)', '3 accessory movements behind the main lift, 6 accessory sets in the 10–20 range'].
Coherence low_energy: PASS; before repairs: ['total sets 19 above the Low Energy budget 18', '3 movements within a rep of failure']
Coherence repairs: low_energy: accessory_rir_floor_2 (Dumbbell Fly RIR 1→2, Machine Triceps Extension RIR 1→2, Overhead Cable Triceps Extension RIR 1→2); low_energy: trim_accessory_sets (Overhead Cable Triceps Extension 3→2 sets)</t>
        </is>
      </c>
      <c r="S12" s="2" t="inlineStr">
        <is>
          <t>state = low_energy (expression: moderate_load) → intended: reduce_training_cost → realized: Parallel Bar Dip 8–10→10–12; Plate-Loaded Incline Press 8–10→10–12; Barbell Bench Press RIR 2→3; Parallel Bar Dip RIR 2→3; Plate-Loaded Incline Press RIR 2→3; Smith Machine Incline Press → Plate-Loaded Incline Press; Cable Triceps Pressdown → Machine Triceps Extension; EZ-Bar Skull Crusher → Overhead Cable Triceps Extension
experience = intermediate → intended: match_programming_vocabulary_to_level → realized: intermediate pool: Barbell Bench Press, Parallel Bar Dip
goal = build_muscle → intended: hypertrophy_volume_and_accessories → realized: Compound + Paired Accessories shape (muscle goal weights it up); 3 accessory movements behind the main lift, 6 accessory sets in the 10–20 range
duration = 60 → intended: fill_the_requested_time_with_useful_work → realized: trimmed to fit: set_removed; estimated 51.5 min for a 60-minute request
equipment = commercial_gym → intended: availability_only → realized: nothing (no claim made)
history = first session → intended: rotate_shape_and_movements_keep_the_main_lift → realized: nothing (no claim made)</t>
        </is>
      </c>
      <c r="T12" s="2" t="inlineStr">
        <is>
          <t>low_energy: attempt 0 expression 'moderate_load' realized ['reps', 'rir', 'exercises'] no-ops [] → satisfied</t>
        </is>
      </c>
      <c r="U12" s="2" t="inlineStr">
        <is>
          <t>Barbell Bench Press (4 × 5–7) leads as the main lift, then 2 strength lifts and 3 accessories, with part of it run as a superset.
18 working sets across 6 exercises, about 52 minutes.
Main work stops about 3 reps short of failure, accessories about 2 reps short of failure.
Intermediate difficulty: every movement is within the intermediate complexity and skill limits.
Your profile goal is to build muscle; today's Strength session is built from today's choices.</t>
        </is>
      </c>
      <c r="V12" s="2" t="n"/>
      <c r="W12" s="2" t="n"/>
    </row>
    <row r="13">
      <c r="A13" s="2" t="inlineStr">
        <is>
          <t>B. Low Energy</t>
        </is>
      </c>
      <c r="B13" s="2" t="inlineStr">
        <is>
          <t>Lower Body: Hinge, 60, advanced, build strength</t>
        </is>
      </c>
      <c r="C13" s="2" t="inlineStr">
        <is>
          <t>wes / 2026-10-20</t>
        </is>
      </c>
      <c r="D13" s="2" t="inlineStr">
        <is>
          <t>low_energy</t>
        </is>
      </c>
      <c r="E13" s="2" t="inlineStr">
        <is>
          <t>advanced</t>
        </is>
      </c>
      <c r="F13" s="2" t="inlineStr">
        <is>
          <t>Build strength</t>
        </is>
      </c>
      <c r="G13" s="2" t="n">
        <v>60</v>
      </c>
      <c r="H13" s="2" t="inlineStr">
        <is>
          <t>Lower Body: Hinge</t>
        </is>
      </c>
      <c r="I13" s="2" t="inlineStr">
        <is>
          <t>none</t>
        </is>
      </c>
      <c r="J13" s="2" t="inlineStr">
        <is>
          <t>first session</t>
        </is>
      </c>
      <c r="K13" s="2" t="inlineStr">
        <is>
          <t>Lower Body: Hinge</t>
        </is>
      </c>
      <c r="L13" s="2" t="inlineStr">
        <is>
          <t>Traditional</t>
        </is>
      </c>
      <c r="M13" s="2" t="n">
        <v>52</v>
      </c>
      <c r="N13" s="2" t="n">
        <v>16</v>
      </c>
      <c r="O13" s="2" t="inlineStr"/>
      <c r="P13" s="2" t="inlineStr">
        <is>
          <t>Barbell Romanian Deadlift: 4 × 5–7  RIR 1  rest 210 s
Cable Pull-Through: 4 × 6–8  RIR 2  rest 120 s
Reverse Lunge: 4 × 6–8/side  RIR 2  rest 120 s
Single-Leg Lying Leg Curl: 4 × 10–12/side  RIR 2  rest 60 s</t>
        </is>
      </c>
      <c r="Q13" s="2" t="inlineStr">
        <is>
          <t>You're low on energy, but strength is still the goal, so we're keeping one meaningful heavy stimulus (Barbell Romanian Deadlift) instead of watering the session down. The rest of the workout stays simpler and further from failure so you train productively without turning it into a grind.</t>
        </is>
      </c>
      <c r="R13" s="2" t="inlineStr">
        <is>
          <t>Session: Lower Body: Hinge, variant traditional, 4 exercises, 16 working sets, est. 52.0 min for a 60-minute request; primary Barbell Romanian Deadlift 4 × 5–7 RIR 1; 0 superset(s), device none, methods none, finisher none.
[le_strength] Low Energy + build_strength: primary kept heavy (reps 5–7, RIR 1); cost lowered around it via ['slot_removed']; total sets 16, near failure ['Barbell Romanian Deadlift'].
Coherence low_energy: PASS
Within a rep of failure: Barbell Romanian Deadlift.
Demanding compounds (systemic 4+): Barbell Romanian Deadlift.</t>
        </is>
      </c>
      <c r="S13" s="2" t="inlineStr">
        <is>
          <t>state = low_energy (expression: simplify) → intended: reduce_training_cost → realized: left out Side Plank; Traditional instead of Heavy Primary
experience = advanced → intended: match_programming_vocabulary_to_level → realized: Barbell Romanian Deadlift runs to RIR 1 (advanced band position); higher-complexity movements kept in: Barbell Romanian Deadlift
goal = build_strength → intended: primary_emphasis_heavier_longer_rest → realized: Barbell Romanian Deadlift at 5–7 with full 210 s rest
duration = 60 → intended: fill_the_requested_time_with_useful_work → realized: filled toward the requested time: set_added; estimated 52.0 min for a 60-minute request
equipment = commercial_gym → intended: availability_only → realized: nothing (no claim made)
history = first session → intended: rotate_shape_and_movements_keep_the_main_lift → realized: nothing (no claim made)</t>
        </is>
      </c>
      <c r="T13" s="2" t="inlineStr">
        <is>
          <t>low_energy: attempt 0 expression 'simplify' realized ['slot_removed', 'structure'] no-ops [] → satisfied</t>
        </is>
      </c>
      <c r="U13" s="2" t="inlineStr">
        <is>
          <t>Barbell Romanian Deadlift (4 × 5–7) leads as the main lift, then 2 strength lifts and 1 accessory.
16 working sets across 4 exercises, about 52 minutes.
Main work stops about 1 rep short of failure, accessories about 2 reps short of failure.
Advanced difficulty keeps the full exercise range open; today the best fits sit within it without needing the most complex options.
Your profile goal is to build strength; today's Strength session is built from today's choices.</t>
        </is>
      </c>
      <c r="V13" s="2" t="n"/>
      <c r="W13" s="2" t="n"/>
    </row>
    <row r="14">
      <c r="A14" s="2" t="inlineStr">
        <is>
          <t>B. Low Energy</t>
        </is>
      </c>
      <c r="B14" s="2" t="inlineStr">
        <is>
          <t>Upper Pull, 30, beginner</t>
        </is>
      </c>
      <c r="C14" s="2" t="inlineStr">
        <is>
          <t>wes / 2026-10-21</t>
        </is>
      </c>
      <c r="D14" s="2" t="inlineStr">
        <is>
          <t>low_energy</t>
        </is>
      </c>
      <c r="E14" s="2" t="inlineStr">
        <is>
          <t>beginner</t>
        </is>
      </c>
      <c r="F14" s="2" t="inlineStr">
        <is>
          <t>Build muscle</t>
        </is>
      </c>
      <c r="G14" s="2" t="n">
        <v>30</v>
      </c>
      <c r="H14" s="2" t="inlineStr">
        <is>
          <t>Upper Pull</t>
        </is>
      </c>
      <c r="I14" s="2" t="inlineStr">
        <is>
          <t>none</t>
        </is>
      </c>
      <c r="J14" s="2" t="inlineStr">
        <is>
          <t>first session</t>
        </is>
      </c>
      <c r="K14" s="2" t="inlineStr">
        <is>
          <t>Upper Pull</t>
        </is>
      </c>
      <c r="L14" s="2" t="inlineStr">
        <is>
          <t>Efficient</t>
        </is>
      </c>
      <c r="M14" s="2" t="n">
        <v>26.9</v>
      </c>
      <c r="N14" s="2" t="n">
        <v>10</v>
      </c>
      <c r="O14" s="2" t="inlineStr">
        <is>
          <t>slow_eccentric</t>
        </is>
      </c>
      <c r="P14" s="2" t="inlineStr">
        <is>
          <t>Chest-Supported Machine Row: 3 × 6–8  RIR 2  rest 120 s
Lat Pulldown: 3 × 10–12 · 3 s eccentric  RIR 2  (Take 3 s to lower every rep, then lift at normal speed. Stop each set with about 2 reps left in the tank.)  rest 90 s
SUPERSET A (2 rounds, rest 60 s after each round)
  A1 Machine Preacher Curl: 2 × 15–20  RIR 2
  A2 Reverse Pec Deck: 2 × 15–20  RIR 2</t>
        </is>
      </c>
      <c r="Q14" s="2" t="inlineStr">
        <is>
          <t>Since you're newer to lifting, the movements stay approachable and the main work keeps at least two reps in reserve. Your muscle goal is why 2 accessory movements sit behind the main lifts at moderate reps.</t>
        </is>
      </c>
      <c r="R14" s="2" t="inlineStr">
        <is>
          <t>Session: Upper Pull, variant efficient, 4 exercises, 10 working sets, est. 26.9 min for a 30-minute request; primary Chest-Supported Machine Row 3 × 6–8 RIR 2; 1 superset(s), device none, methods ['3 s eccentric on Lat Pulldown'], finisher none.
[level] Beginner: ['beginner bands: every lift keeps 2+ reps in reserve, no exercise above 3 sets', 'beginner-rated, low-complexity movements only'].
[goal] Goal build_muscle: ['2 accessory movements behind the main lift, 4 accessory sets in the 10–20 range', '3 s eccentric on Lat Pulldown'].
Coherence low_energy: PASS</t>
        </is>
      </c>
      <c r="S14" s="2" t="inlineStr">
        <is>
          <t>state = low_energy (expression: simplify) → intended: reduce_training_cost → realized: 3 s eccentric on Lat Pulldown
experience = beginner → intended: match_programming_vocabulary_to_level → realized: beginner bands: every lift keeps 2+ reps in reserve, no exercise above 3 sets; beginner-rated, low-complexity movements only
goal = build_muscle → intended: hypertrophy_volume_and_accessories → realized: 2 accessory movements behind the main lift, 4 accessory sets in the 10–20 range; 3 s eccentric on Lat Pulldown
duration = 30 → intended: fill_the_requested_time_with_useful_work → realized: filled toward the requested time: slot_added Reverse Pec Deck; 30-minute session: 4 exercises, 10 working sets, main work kept; estimated 26.9 min for a 30-minute request
equipment = commercial_gym → intended: availability_only → realized: nothing (no claim made)
history = first session → intended: rotate_shape_and_movements_keep_the_main_lift → realized: nothing (no claim made)</t>
        </is>
      </c>
      <c r="T14" s="2" t="inlineStr">
        <is>
          <t>low_energy: attempt 0 expression 'simplify' realized ['set_method'] no-ops ['state_slot_removed_no_effect', 'state_rir_no_effect'] → satisfied</t>
        </is>
      </c>
      <c r="U14" s="2" t="inlineStr">
        <is>
          <t>30 minutes: 4 exercises and 10 working sets, with the main work kept.
Beginner difficulty applies MOOD's beginner exercise rules: all 4 movements are beginner-rated and technically approachable.
Chest-Supported Machine Row (3 × 6–8) leads as the main lift, then 1 strength lift and 2 accessories, with part of it run as a superset.
10 working sets across 4 exercises, about 27 minutes.
Main work stops about 2 reps short of failure.</t>
        </is>
      </c>
      <c r="V14" s="2" t="n"/>
      <c r="W14" s="2" t="n"/>
    </row>
    <row r="15">
      <c r="A15" s="2" t="inlineStr">
        <is>
          <t>C. Amped</t>
        </is>
      </c>
      <c r="B15" s="2" t="inlineStr">
        <is>
          <t>Upper Push, 60, intermediate</t>
        </is>
      </c>
      <c r="C15" s="2" t="inlineStr">
        <is>
          <t>wes / 2026-10-14</t>
        </is>
      </c>
      <c r="D15" s="2" t="inlineStr">
        <is>
          <t>amped</t>
        </is>
      </c>
      <c r="E15" s="2" t="inlineStr">
        <is>
          <t>intermediate</t>
        </is>
      </c>
      <c r="F15" s="2" t="inlineStr">
        <is>
          <t>Build muscle</t>
        </is>
      </c>
      <c r="G15" s="2" t="n">
        <v>60</v>
      </c>
      <c r="H15" s="2" t="inlineStr">
        <is>
          <t>Upper Push</t>
        </is>
      </c>
      <c r="I15" s="2" t="inlineStr">
        <is>
          <t>none</t>
        </is>
      </c>
      <c r="J15" s="2" t="inlineStr">
        <is>
          <t>first session</t>
        </is>
      </c>
      <c r="K15" s="2" t="inlineStr">
        <is>
          <t>Upper Push</t>
        </is>
      </c>
      <c r="L15" s="2" t="inlineStr">
        <is>
          <t>Compound + Paired Accessories</t>
        </is>
      </c>
      <c r="M15" s="2" t="n">
        <v>55.8</v>
      </c>
      <c r="N15" s="2" t="n">
        <v>20</v>
      </c>
      <c r="O15" s="2" t="inlineStr"/>
      <c r="P15" s="2" t="inlineStr">
        <is>
          <t>Barbell Bench Press: 5 × 5–7  RIR 2  rest 180 s
Parallel Bar Dip: 4 × 8–10  RIR 2  rest 120 s
Smith Machine Incline Press: 4 × 8–10  RIR 2  rest 120 s
SUPERSET A (2 rounds, rest 60 s after each round)
  A1 Dumbbell Fly: 2 × 12–15  RIR 1
  A2 Cable Triceps Pressdown: 2 × 12–15  RIR 1
EZ-Bar Skull Crusher: 3 × 12–15  RIR 1  rest 60 s</t>
        </is>
      </c>
      <c r="Q15" s="2" t="inlineStr">
        <is>
          <t>You're amped today, so we're adding a working set to Barbell Bench Press. For muscle, the volume lives in the accessories: 3 movements at moderate reps behind Barbell Bench Press.</t>
        </is>
      </c>
      <c r="R15" s="2" t="inlineStr">
        <is>
          <t>Session: Upper Push, variant paired, 6 exercises, 20 working sets, est. 55.8 min for a 60-minute request; primary Barbell Bench Press 5 × 5–7 RIR 2; 1 superset(s), device none, methods none, finisher none.
[amped] Amped realized ['volume']; near failure ['Dumbbell Fly', 'Cable Triceps Pressdown', 'EZ-Bar Skull Crusher']; total sets 20.
[goal] Goal build_muscle: ['Compound + Paired Accessories shape (muscle goal weights it up)', '3 accessory movements behind the main lift, 7 accessory sets in the 10–20 range'].
Coherence amped: PASS
Within a rep of failure: Dumbbell Fly, Cable Triceps Pressdown, EZ-Bar Skull Crusher.</t>
        </is>
      </c>
      <c r="S15" s="2" t="inlineStr">
        <is>
          <t>state = amped (expression: extra_set_paired) → intended: use_readiness_productively → realized: Barbell Bench Press 4→5 sets
experience = intermediate → intended: match_programming_vocabulary_to_level → realized: intermediate pool: Barbell Bench Press, Parallel Bar Dip
goal = build_muscle → intended: hypertrophy_volume_and_accessories → realized: Compound + Paired Accessories shape (muscle goal weights it up); 3 accessory movements behind the main lift, 7 accessory sets in the 10–20 range
duration = 60 → intended: fill_the_requested_time_with_useful_work → realized: trimmed to fit: set_removed; estimated 55.8 min for a 60-minute request
equipment = commercial_gym → intended: availability_only → realized: nothing (no claim made)
history = first session → intended: rotate_shape_and_movements_keep_the_main_lift → realized: nothing (no claim made)</t>
        </is>
      </c>
      <c r="T15" s="2" t="inlineStr">
        <is>
          <t>amped: attempt 0 expression 'extra_set_paired' realized ['volume'] no-ops [] → satisfied</t>
        </is>
      </c>
      <c r="U15" s="2" t="inlineStr">
        <is>
          <t>Barbell Bench Press (5 × 5–7) leads as the main lift, then 2 strength lifts and 3 accessories, with part of it run as a superset.
20 working sets across 6 exercises, about 56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15" s="2" t="n"/>
      <c r="W15" s="2" t="n"/>
    </row>
    <row r="16">
      <c r="A16" s="2" t="inlineStr">
        <is>
          <t>C. Amped</t>
        </is>
      </c>
      <c r="B16" s="2" t="inlineStr">
        <is>
          <t>Lower Body: Squat, 60, advanced, build strength</t>
        </is>
      </c>
      <c r="C16" s="2" t="inlineStr">
        <is>
          <t>wes / 2026-10-22</t>
        </is>
      </c>
      <c r="D16" s="2" t="inlineStr">
        <is>
          <t>amped</t>
        </is>
      </c>
      <c r="E16" s="2" t="inlineStr">
        <is>
          <t>advanced</t>
        </is>
      </c>
      <c r="F16" s="2" t="inlineStr">
        <is>
          <t>Build strength</t>
        </is>
      </c>
      <c r="G16" s="2" t="n">
        <v>60</v>
      </c>
      <c r="H16" s="2" t="inlineStr">
        <is>
          <t>Lower Body: Squat</t>
        </is>
      </c>
      <c r="I16" s="2" t="inlineStr">
        <is>
          <t>none</t>
        </is>
      </c>
      <c r="J16" s="2" t="inlineStr">
        <is>
          <t>first session</t>
        </is>
      </c>
      <c r="K16" s="2" t="inlineStr">
        <is>
          <t>Lower Body: Squat</t>
        </is>
      </c>
      <c r="L16" s="2" t="inlineStr">
        <is>
          <t>Top Set + Back-off</t>
        </is>
      </c>
      <c r="M16" s="2" t="n">
        <v>57</v>
      </c>
      <c r="N16" s="2" t="n">
        <v>17</v>
      </c>
      <c r="O16" s="2" t="inlineStr">
        <is>
          <t>pause</t>
        </is>
      </c>
      <c r="P16" s="2" t="inlineStr">
        <is>
          <t>Barbell Back Squat: 5 sets: 4/7/7/7/7 · paused reps  RIR 1  (Pause 2 s at the hardest point of every rep, then drive out of it. Top set heavy, then back off 10–15% for the remaining sets. Stop each set with about 1 rep left in the tank.)  rest 240 s
Leg Press: 4 × 6–8  RIR 2  rest 135 s
Front-Foot Elevated Split Squat: 4 × 6–8/side  RIR 2  rest 135 s
SUPERSET A (2 rounds, rest 60 s after each round)
  A1 Reverse Nordic Curl: 2 × 12–15  RIR 1
  A2 Roman Chair / GHD Glute-Ham Raise: 2 × 10–12  RIR 1</t>
        </is>
      </c>
      <c r="Q16" s="2" t="inlineStr">
        <is>
          <t>You're amped, so that extra readiness goes into demanding compound work with Barbell Back Squat as a heavy top set and back-off sets. Since you're an advanced lifter focused on strength, the session stays compound-heavy rather than turning the energy into more accessory volume.</t>
        </is>
      </c>
      <c r="R16" s="2" t="inlineStr">
        <is>
          <t>Session: Lower Body: Squat, variant top_backoff, 5 exercises, 17 working sets, est. 57.0 min for a 60-minute request; primary Barbell Back Squat 5 × 4–6 RIR 1; 1 superset(s), device none, methods ['paused reps on Barbell Back Squat'], finisher none.
[amped_adv_strength] Amped + advanced + build_strength: realized ['volume']; compound sets 13 vs accessory 4; primary reps 4–6 RIR 1.
Coherence amped: PASS
Within a rep of failure: Barbell Back Squat, Reverse Nordic Curl, Roman Chair / GHD Glute-Ham Raise.
Demanding compounds (systemic 4+): Barbell Back Squat.</t>
        </is>
      </c>
      <c r="S16" s="2" t="inlineStr">
        <is>
          <t>state = amped (expression: extra_set_paired) → intended: use_readiness_productively → realized: Barbell Back Squat 4→5 sets
experience = advanced → intended: match_programming_vocabulary_to_level → realized: paused reps on Barbell Back Squat; Barbell Back Squat runs to RIR 1 (advanced band position); higher-complexity movements kept in: Barbell Back Squat, Roman Chair / GHD Glute-Ham Raise; Top Set + Back-off shape
goal = build_strength → intended: primary_emphasis_heavier_longer_rest → realized: Top Set + Back-off shape (strength goal weights it up); Barbell Back Squat at 4–6 with full 240 s rest; paused reps on Barbell Back Squat
duration = 60 → intended: fill_the_requested_time_with_useful_work → realized: estimated 57.0 min for a 60-minute request
equipment = commercial_gym → intended: availability_only → realized: nothing (no claim made)
history = first session → intended: rotate_shape_and_movements_keep_the_main_lift → realized: nothing (no claim made)</t>
        </is>
      </c>
      <c r="T16" s="2" t="inlineStr">
        <is>
          <t>amped: attempt 0 expression 'extra_set_paired' realized ['volume'] no-ops [] → satisfied</t>
        </is>
      </c>
      <c r="U16" s="2" t="inlineStr">
        <is>
          <t>Barbell Back Squat (5 sets: 4/7/7/7/7 · paused reps) leads as the main lift, then 2 strength lifts and 2 accessories, with part of it run as a superset.
17 working sets across 5 exercises, about 57 minutes.
Main work stops about 1 rep short of failure.
Advanced difficulty keeps the full exercise range open; today the best fits sit within it without needing the most complex options.
Your profile goal is to build strength; today's Strength session is built from today's choices.</t>
        </is>
      </c>
      <c r="V16" s="2" t="n"/>
      <c r="W16" s="2" t="n"/>
    </row>
    <row r="17">
      <c r="A17" s="2" t="inlineStr">
        <is>
          <t>C. Amped</t>
        </is>
      </c>
      <c r="B17" s="2" t="inlineStr">
        <is>
          <t>Upper Body (mixed), 30, intermediate</t>
        </is>
      </c>
      <c r="C17" s="2" t="inlineStr">
        <is>
          <t>wes / 2026-10-23</t>
        </is>
      </c>
      <c r="D17" s="2" t="inlineStr">
        <is>
          <t>amped</t>
        </is>
      </c>
      <c r="E17" s="2" t="inlineStr">
        <is>
          <t>intermediate</t>
        </is>
      </c>
      <c r="F17" s="2" t="inlineStr">
        <is>
          <t>Build muscle</t>
        </is>
      </c>
      <c r="G17" s="2" t="n">
        <v>30</v>
      </c>
      <c r="H17" s="2" t="inlineStr">
        <is>
          <t>Upper Body (mixed)</t>
        </is>
      </c>
      <c r="I17" s="2" t="inlineStr">
        <is>
          <t>none</t>
        </is>
      </c>
      <c r="J17" s="2" t="inlineStr">
        <is>
          <t>first session</t>
        </is>
      </c>
      <c r="K17" s="2" t="inlineStr">
        <is>
          <t>Upper Body</t>
        </is>
      </c>
      <c r="L17" s="2" t="inlineStr">
        <is>
          <t>Compound + Paired Accessories</t>
        </is>
      </c>
      <c r="M17" s="2" t="n">
        <v>29.9</v>
      </c>
      <c r="N17" s="2" t="n">
        <v>9</v>
      </c>
      <c r="O17" s="2" t="inlineStr">
        <is>
          <t>rest_pause</t>
        </is>
      </c>
      <c r="P17" s="2" t="inlineStr">
        <is>
          <t>Barbell Bench Press: 4 × 5–7  RIR 2  rest 150 s
Chest-Supported Machine Row: 3 × 8–10  RIR 2  rest 120 s
Cable Lateral Raise: 2 × 15–20/side · rest-pause on the final set  RIR 1  (On the last set, hit the reps, rest 15 s, then add as many clean reps as you can. Stop each set with about 1 rep left in the tank.)  rest 45 s</t>
        </is>
      </c>
      <c r="Q17" s="2" t="inlineStr">
        <is>
          <t>You're amped today, so we're adding a working set to Barbell Bench Press and using rest-pause on the final set on Cable Lateral Raise. As an intermediate lifter, rest-pause on the final set on Cable Lateral Raise is on the table. Your muscle goal is why 1 accessory movement sits behind the main lifts at moderate reps.</t>
        </is>
      </c>
      <c r="R17" s="2" t="inlineStr">
        <is>
          <t>Session: Upper Body, variant paired, 3 exercises, 9 working sets, est. 29.9 min for a 30-minute request; primary Barbell Bench Press 4 × 5–7 RIR 2; 0 superset(s), device none, methods ['rest-pause on the final set on Cable Lateral Raise'], finisher none.
[amped] Amped realized ['volume', 'set_method']; near failure ['Cable Lateral Raise']; total sets 9.
[level] Intermediate: ['rest-pause on the final set on Cable Lateral Raise (intermediate and up)', 'intermediate pool: Barbell Bench Press'].
[goal] Goal build_muscle: ['Compound + Paired Accessories shape (muscle goal weights it up)', '1 accessory movement behind the main lift, 2 accessory sets in the 10–20 range', 'rest-pause on the final set on Cable Lateral Raise'].
Coherence amped: PASS
Within a rep of failure: Cable Lateral Raise.</t>
        </is>
      </c>
      <c r="S17" s="2" t="inlineStr">
        <is>
          <t>state = amped (expression: extra_set_paired) → intended: use_readiness_productively → realized: Barbell Bench Press 3→4 sets; rest-pause on the final set on Cable Lateral Raise
experience = intermediate → intended: match_programming_vocabulary_to_level → realized: rest-pause on the final set on Cable Lateral Raise (intermediate and up); intermediate pool: Barbell Bench Press
goal = build_muscle → intended: hypertrophy_volume_and_accessories → realized: Compound + Paired Accessories shape (muscle goal weights it up); 1 accessory movement behind the main lift, 2 accessory sets in the 10–20 range; rest-pause on the final set on Cable Lateral Raise
duration = 30 → intended: fill_the_requested_time_with_useful_work → realized: trimmed to fit: set_removed; 30-minute session: 3 exercises, 9 working sets, main work kept; estimated 29.9 min for a 30-minute request
equipment = commercial_gym → intended: availability_only → realized: nothing (no claim made)
history = first session → intended: rotate_shape_and_movements_keep_the_main_lift → realized: nothing (no claim made)</t>
        </is>
      </c>
      <c r="T17" s="2" t="inlineStr">
        <is>
          <t>amped: attempt 0 expression 'extra_set_paired' realized ['volume', 'set_method'] no-ops [] → satisfied</t>
        </is>
      </c>
      <c r="U17" s="2" t="inlineStr">
        <is>
          <t>30 minutes: 3 exercises and 9 working sets, with the main work kept.
Barbell Bench Press (4 × 5–7) leads as the main lift, then 1 strength lift and 1 accessory.
9 working sets across 3 exercises, about 30 minutes.
Main work stops about 2 reps short of failure, accessories about 1 rep short of failure.
Intermediate difficulty: every movement is within the intermediate complexity and skill limits.</t>
        </is>
      </c>
      <c r="V17" s="2" t="n"/>
      <c r="W17" s="2" t="n"/>
    </row>
    <row r="18">
      <c r="A18" s="2" t="inlineStr">
        <is>
          <t>C. Amped</t>
        </is>
      </c>
      <c r="B18" s="2" t="inlineStr">
        <is>
          <t>Glutes + Legs, 60, beginner</t>
        </is>
      </c>
      <c r="C18" s="2" t="inlineStr">
        <is>
          <t>wes / 2026-10-24</t>
        </is>
      </c>
      <c r="D18" s="2" t="inlineStr">
        <is>
          <t>amped</t>
        </is>
      </c>
      <c r="E18" s="2" t="inlineStr">
        <is>
          <t>beginner</t>
        </is>
      </c>
      <c r="F18" s="2" t="inlineStr">
        <is>
          <t>Build muscle</t>
        </is>
      </c>
      <c r="G18" s="2" t="n">
        <v>60</v>
      </c>
      <c r="H18" s="2" t="inlineStr">
        <is>
          <t>Glutes + Legs</t>
        </is>
      </c>
      <c r="I18" s="2" t="inlineStr">
        <is>
          <t>none</t>
        </is>
      </c>
      <c r="J18" s="2" t="inlineStr">
        <is>
          <t>first session</t>
        </is>
      </c>
      <c r="K18" s="2" t="inlineStr">
        <is>
          <t>Glutes + Legs</t>
        </is>
      </c>
      <c r="L18" s="2" t="inlineStr">
        <is>
          <t>Volume</t>
        </is>
      </c>
      <c r="M18" s="2" t="n">
        <v>54.9</v>
      </c>
      <c r="N18" s="2" t="n">
        <v>18</v>
      </c>
      <c r="O18" s="2" t="inlineStr"/>
      <c r="P18" s="2" t="inlineStr">
        <is>
          <t>Barbell Hip Thrust: 4 × 6–8  RIR 3  (Stop each set with about 3 reps left in the tank.)  rest 135 s
Pit Shark Belt Squat: 4 × 10–12  RIR 2  rest 120 s
Reverse Lunge: 4 × 10–12/side  RIR 2  rest 120 s
Machine Glute Kickback: 2 × 15–20/side  RIR 2  rest 60 s
SUPERSET A (2 rounds, rest 60 s after each round)
  A1 Seated Leg Curl: 2 × 15–20  RIR 2
  A2 Leg Extension: 2 × 15–20  RIR 2</t>
        </is>
      </c>
      <c r="Q18" s="2" t="inlineStr">
        <is>
          <t>You're amped, so we're using it without chasing failure: pushing the main lifts to the heavy end of their range, still with reps in reserve on every set. For muscle, the volume lives in the accessories: 3 movements at moderate reps behind Barbell Hip Thrust.</t>
        </is>
      </c>
      <c r="R18" s="2" t="inlineStr">
        <is>
          <t>Session: Glutes + Legs, variant volume, 6 exercises, 18 working sets, est. 54.9 min for a 60-minute request; primary Barbell Hip Thrust 4 × 6–8 RIR 3; 1 superset(s), device none, methods none, finisher none.
[amped_beginner] Beginner Amped: realized ['reps']; min RIR 2; no RIR-0 finisher.
[goal] Goal build_muscle: ['Volume shape (muscle goal weights it up)', '3 accessory movements behind the main lift, 6 accessory sets in the 10–20 range'].
Coherence amped: PASS</t>
        </is>
      </c>
      <c r="S18" s="2" t="inlineStr">
        <is>
          <t>state = amped (expression: heavy_end) → intended: use_readiness_productively → realized: Barbell Hip Thrust 8–10→6–8
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Volume shape (muscle goal weights it up); 3 accessory movements behind the main lift, 6 accessory sets in the 10–20 range
duration = 60 → intended: fill_the_requested_time_with_useful_work → realized: trimmed to fit: accessory_rest_shortened, set_removed; estimated 54.9 min for a 60-minute request
equipment = commercial_gym → intended: availability_only → realized: nothing (no claim made)
history = first session → intended: rotate_shape_and_movements_keep_the_main_lift → realized: nothing (no claim made)</t>
        </is>
      </c>
      <c r="T18" s="2" t="inlineStr">
        <is>
          <t>amped: attempt 0 expression 'extra_set_paired' realized [] no-ops ['state_volume_no_effect'] → NOT satisfied
amped: fallback extra_set_paired → heavy_end
amped: attempt 1 expression 'heavy_end' realized ['reps'] no-ops ['state_rir_no_effect'] → satisfied</t>
        </is>
      </c>
      <c r="U18" s="2" t="inlineStr">
        <is>
          <t>Beginner difficulty applies MOOD's beginner exercise rules: all 6 movements are beginner-rated and technically approachable.
Barbell Hip Thrust (4 × 6–8) leads as the main lift, then 2 strength lifts and 3 accessories, with part of it run as a superset.
18 working sets across 6 exercises, about 55 minutes.
Main work stops about 3 reps short of failure, accessories about 2 reps short of failure.
Your profile goal is to build muscle; today's Strength session is built from today's choices.</t>
        </is>
      </c>
      <c r="V18" s="2" t="n"/>
      <c r="W18" s="2" t="n"/>
    </row>
    <row r="19">
      <c r="A19" s="2" t="inlineStr">
        <is>
          <t>D. Irritated</t>
        </is>
      </c>
      <c r="B19" s="2" t="inlineStr">
        <is>
          <t>Upper Push, 60, intermediate</t>
        </is>
      </c>
      <c r="C19" s="2" t="inlineStr">
        <is>
          <t>wes / 2026-10-14</t>
        </is>
      </c>
      <c r="D19" s="2" t="inlineStr">
        <is>
          <t>irritated</t>
        </is>
      </c>
      <c r="E19" s="2" t="inlineStr">
        <is>
          <t>intermediate</t>
        </is>
      </c>
      <c r="F19" s="2" t="inlineStr">
        <is>
          <t>Build muscle</t>
        </is>
      </c>
      <c r="G19" s="2" t="n">
        <v>60</v>
      </c>
      <c r="H19" s="2" t="inlineStr">
        <is>
          <t>Upper Push</t>
        </is>
      </c>
      <c r="I19" s="2" t="inlineStr">
        <is>
          <t>none</t>
        </is>
      </c>
      <c r="J19" s="2" t="inlineStr">
        <is>
          <t>first session</t>
        </is>
      </c>
      <c r="K19" s="2" t="inlineStr">
        <is>
          <t>Upper Push</t>
        </is>
      </c>
      <c r="L19" s="2" t="inlineStr">
        <is>
          <t>Top Set + Back-off</t>
        </is>
      </c>
      <c r="M19" s="2" t="n">
        <v>57.5</v>
      </c>
      <c r="N19" s="2" t="n">
        <v>21</v>
      </c>
      <c r="O19" s="2" t="inlineStr"/>
      <c r="P19" s="2" t="inlineStr">
        <is>
          <t>Barbell Bench Press: 4 sets: 4/7/7/7  RIR 2  (Top set heavy, then back off 10–15% for the remaining sets. Stop each set with about 2 reps left in the tank.)  rest 225 s
Parallel Bar Dip: 4 × 8–10  RIR 2  rest 135 s
Smith Machine Incline Press: 4 × 8–10  RIR 2  rest 135 s
SUPERSET A (3 rounds, rest 60 s after each round)
  A1 Dumbbell Fly: 3 × 10–12  RIR 1
  A2 Cable Triceps Pressdown: 3 × 10–12  RIR 1
EZ-Bar Skull Crusher: 3 × 10–12  RIR 1  rest 60 s</t>
        </is>
      </c>
      <c r="Q19" s="2" t="inlineStr">
        <is>
          <t>You're irritated today, so we're keeping the structure direct and loading the main lifts heavier. As an intermediate lifter, the top-set scheme is in play, and for muscle, the volume lives in the accessories: 3 movements at moderate reps behind Barbell Bench Press.</t>
        </is>
      </c>
      <c r="R19" s="2" t="inlineStr">
        <is>
          <t>Session: Upper Push, variant top_backoff, 6 exercises, 21 working sets, est. 57.5 min for a 60-minute request; primary Barbell Bench Press 4 × 4–6 RIR 2; 1 superset(s), device none, methods none, finisher none.
[irr] Irritated realized ['structure', 'reps']; variant top_backoff; finisher False.
[level] Intermediate: ['Top Set + Back-off (intermediate and up)', 'intermediate pool: Barbell Bench Press, Parallel Bar Dip'].
[goal] Goal build_muscle: ['3 accessory movements behind the main lift, 9 accessory sets in the 10–20 range'].
Coherence irritated: PASS
Within a rep of failure: Dumbbell Fly, Cable Triceps Pressdown, EZ-Bar Skull Crusher.</t>
        </is>
      </c>
      <c r="S19" s="2" t="inlineStr">
        <is>
          <t>state = irritated (expression: forceful_finish) → intended: direct_physical_cathartic_work → realized: Barbell Bench Press 5–7→4–6; Top Set + Back-off instead of Compound + Paired Accessories
experience = intermediate → intended: match_programming_vocabulary_to_level → realized: Top Set + Back-off (intermediate and up); intermediate pool: Barbell Bench Press, Parallel Bar Dip
goal = build_muscle → intended: hypertrophy_volume_and_accessories → realized: 3 accessory movements behind the main lift, 9 accessory sets in the 10–20 range
duration = 60 → intended: fill_the_requested_time_with_useful_work → realized: estimated 57.5 min for a 60-minute request
equipment = commercial_gym → intended: availability_only → realized: nothing (no claim made)
history = first session → intended: rotate_shape_and_movements_keep_the_main_lift → realized: nothing (no claim made)</t>
        </is>
      </c>
      <c r="T19" s="2" t="inlineStr">
        <is>
          <t>irritated: attempt 0 expression 'forceful_finish' realized ['reps', 'structure'] no-ops [] → satisfied</t>
        </is>
      </c>
      <c r="U19" s="2" t="inlineStr">
        <is>
          <t>Barbell Bench Press (4 sets: 4/7/7/7) leads as the main lift, then 2 strength lifts and 3 accessories, with part of it run as a superset.
21 working sets across 6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19" s="2" t="n"/>
      <c r="W19" s="2" t="n"/>
    </row>
    <row r="20">
      <c r="A20" s="2" t="inlineStr">
        <is>
          <t>D. Irritated</t>
        </is>
      </c>
      <c r="B20" s="2" t="inlineStr">
        <is>
          <t>Glutes + Legs, 60, intermediate</t>
        </is>
      </c>
      <c r="C20" s="2" t="inlineStr">
        <is>
          <t>wes / 2026-10-24</t>
        </is>
      </c>
      <c r="D20" s="2" t="inlineStr">
        <is>
          <t>irritated</t>
        </is>
      </c>
      <c r="E20" s="2" t="inlineStr">
        <is>
          <t>intermediate</t>
        </is>
      </c>
      <c r="F20" s="2" t="inlineStr">
        <is>
          <t>Build muscle</t>
        </is>
      </c>
      <c r="G20" s="2" t="n">
        <v>60</v>
      </c>
      <c r="H20" s="2" t="inlineStr">
        <is>
          <t>Glutes + Legs</t>
        </is>
      </c>
      <c r="I20" s="2" t="inlineStr">
        <is>
          <t>none</t>
        </is>
      </c>
      <c r="J20" s="2" t="inlineStr">
        <is>
          <t>first session</t>
        </is>
      </c>
      <c r="K20" s="2" t="inlineStr">
        <is>
          <t>Glutes + Legs</t>
        </is>
      </c>
      <c r="L20" s="2" t="inlineStr">
        <is>
          <t>Traditional</t>
        </is>
      </c>
      <c r="M20" s="2" t="n">
        <v>57.9</v>
      </c>
      <c r="N20" s="2" t="n">
        <v>20</v>
      </c>
      <c r="O20" s="2" t="inlineStr"/>
      <c r="P20" s="2" t="inlineStr">
        <is>
          <t>Barbell Hip Thrust: 4 × 5–7  RIR 2  rest 165 s
Trap-Bar Deadlift: 4 × 8–10  RIR 2  rest 120 s
Reverse Lunge: 4 × 8–10/side  RIR 2  rest 120 s
Machine Glute Kickback: 4 × 10–12/side  RIR 1  rest 60 s
Reverse Nordic Curl: 4 × 12–15  RIR 1  rest 60 s</t>
        </is>
      </c>
      <c r="Q20" s="2" t="inlineStr">
        <is>
          <t>You're irritated today, so we're keeping the structure direct. For muscle, the volume lives in the accessories: 2 movements at moderate reps behind Barbell Hip Thrust.</t>
        </is>
      </c>
      <c r="R20" s="2" t="inlineStr">
        <is>
          <t>Session: Glutes + Legs, variant traditional, 5 exercises, 20 working sets, est. 57.9 min for a 60-minute request; primary Barbell Hip Thrust 4 × 5–7 RIR 2; 0 superset(s), device none, methods none, finisher none.
[irr] Irritated realized ['structure']; variant traditional; finisher False.
[goal] Goal build_muscle: ['2 accessory movements behind the main lift, 8 accessory sets in the 10–20 range'].
Coherence irritated: PASS
Within a rep of failure: Machine Glute Kickback, Reverse Nordic Curl.
Demanding compounds (systemic 4+): Trap-Bar Deadlift.</t>
        </is>
      </c>
      <c r="S20" s="2" t="inlineStr">
        <is>
          <t>state = irritated (expression: direct_simple) → intended: direct_physical_cathartic_work → realized: Traditional instead of Volume
experience = intermediate → intended: match_programming_vocabulary_to_level → realized: intermediate pool: Trap-Bar Deadlift
goal = build_muscle → intended: hypertrophy_volume_and_accessories → realized: 2 accessory movements behind the main lift, 8 accessory sets in the 10–20 range
duration = 60 → intended: fill_the_requested_time_with_useful_work → realized: trimmed to fit: finisher_dropped; estimated 57.9 min for a 60-minute request
equipment = commercial_gym → intended: availability_only → realized: nothing (no claim made)
history = first session → intended: rotate_shape_and_movements_keep_the_main_lift → realized: nothing (no claim made)</t>
        </is>
      </c>
      <c r="T20" s="2" t="inlineStr">
        <is>
          <t>irritated: attempt 0 expression 'direct_simple' realized ['structure'] no-ops ['state_reps_no_effect'] → satisfied</t>
        </is>
      </c>
      <c r="U20" s="2" t="inlineStr">
        <is>
          <t>Barbell Hip Thrust (4 × 5–7) leads as the main lift, then 2 strength lifts and 2 accessories.
20 working sets across 5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20" s="2" t="n"/>
      <c r="W20" s="2" t="n"/>
    </row>
    <row r="21">
      <c r="A21" s="2" t="inlineStr">
        <is>
          <t>D. Irritated</t>
        </is>
      </c>
      <c r="B21" s="2" t="inlineStr">
        <is>
          <t>Upper Pull, 30, intermediate</t>
        </is>
      </c>
      <c r="C21" s="2" t="inlineStr">
        <is>
          <t>wes / 2026-10-25</t>
        </is>
      </c>
      <c r="D21" s="2" t="inlineStr">
        <is>
          <t>irritated</t>
        </is>
      </c>
      <c r="E21" s="2" t="inlineStr">
        <is>
          <t>intermediate</t>
        </is>
      </c>
      <c r="F21" s="2" t="inlineStr">
        <is>
          <t>Build muscle</t>
        </is>
      </c>
      <c r="G21" s="2" t="n">
        <v>30</v>
      </c>
      <c r="H21" s="2" t="inlineStr">
        <is>
          <t>Upper Pull</t>
        </is>
      </c>
      <c r="I21" s="2" t="inlineStr">
        <is>
          <t>none</t>
        </is>
      </c>
      <c r="J21" s="2" t="inlineStr">
        <is>
          <t>first session</t>
        </is>
      </c>
      <c r="K21" s="2" t="inlineStr">
        <is>
          <t>Upper Pull</t>
        </is>
      </c>
      <c r="L21" s="2" t="inlineStr">
        <is>
          <t>Heavy Primary</t>
        </is>
      </c>
      <c r="M21" s="2" t="n">
        <v>30.5</v>
      </c>
      <c r="N21" s="2" t="n">
        <v>9</v>
      </c>
      <c r="O21" s="2" t="inlineStr">
        <is>
          <t>drop_set</t>
        </is>
      </c>
      <c r="P21" s="2" t="inlineStr">
        <is>
          <t>Chest-Supported Machine Row: 4 × 4–6  RIR 2  (Move the bar with intent: controlled down, drive up as fast as it will go. Stop each set with about 2 reps left in the tank.)  rest 210 s
Neutral-Grip Lat Pulldown: 3 × 8–10 · drop set on the final set  RIR 2  (On the last set, hit the reps, drop the load about 25% and go again to the same reps-in-reserve. Stop each set with about 2 reps left in the tank.)  rest 120 s
Barbell Curl: 2 × 10–12  RIR 1  rest 45 s</t>
        </is>
      </c>
      <c r="Q21" s="2" t="inlineStr">
        <is>
          <t>You're irritated today, so we're building the session around heavy, simple compound work and driving every rep of Chest-Supported Machine Row with intent. As an intermediate lifter, drop set on the final set on Neutral-Grip Lat Pulldown is on the table. For muscle, the volume lives in the accessory: 1 movement at moderate reps behind Chest-Supported Machine Row.</t>
        </is>
      </c>
      <c r="R21" s="2" t="inlineStr">
        <is>
          <t>Session: Upper Pull, variant heavy_primary, 3 exercises, 9 working sets, est. 30.5 min for a 30-minute request; primary Chest-Supported Machine Row 4 × 4–6 RIR 2; 0 superset(s), device none, methods ['drop set on the final set on Neutral-Grip Lat Pulldown'], finisher none.
[irr] Irritated realized ['structure', 'tempo']; variant heavy_primary; finisher False.
[level] Intermediate: ['drop set on the final set on Neutral-Grip Lat Pulldown (intermediate and up)'].
[goal] Goal build_muscle: ['1 accessory movement behind the main lift, 2 accessory sets in the 10–20 range', 'drop set on the final set on Neutral-Grip Lat Pulldown'].
Coherence irritated: PASS
Within a rep of failure: Barbell Curl.</t>
        </is>
      </c>
      <c r="S21" s="2" t="inlineStr">
        <is>
          <t>state = irritated (expression: heavy_primary) → intended: direct_physical_cathartic_work → realized: explosive intent on Chest-Supported Machine Row; Heavy Primary instead of Compound + Paired Accessories
experience = intermediate → intended: match_programming_vocabulary_to_level → realized: drop set on the final set on Neutral-Grip Lat Pulldown (intermediate and up)
goal = build_muscle → intended: hypertrophy_volume_and_accessories → realized: 1 accessory movement behind the main lift, 2 accessory sets in the 10–20 range; drop set on the final set on Neutral-Grip Lat Pulldown
duration = 30 → intended: fill_the_requested_time_with_useful_work → realized: trimmed to fit: rest_shortened, set_removed; 30-minute session: 3 exercises, 9 working sets, main work kept; estimated 30.5 min for a 30-minute request
equipment = commercial_gym → intended: availability_only → realized: nothing (no claim made)
history = first session → intended: rotate_shape_and_movements_keep_the_main_lift → realized: nothing (no claim made)</t>
        </is>
      </c>
      <c r="T21" s="2" t="inlineStr">
        <is>
          <t>irritated: attempt 0 expression 'direct_simple' realized [] no-ops ['state_reps_no_effect'] → NOT satisfied
irritated: fallback direct_simple → heavy_primary
irritated: attempt 1 expression 'heavy_primary' realized ['tempo', 'structure'] no-ops ['state_reps_no_effect'] → satisfied</t>
        </is>
      </c>
      <c r="U21" s="2" t="inlineStr">
        <is>
          <t>30 minutes: 3 exercises and 9 working sets, with the main work kept.
Chest-Supported Machine Row (4 × 4–6) leads as the main lift, then 1 strength lift and 1 accessory.
9 working sets across 3 exercises, about 30 minutes.
Main work stops about 2 reps short of failure, accessories about 1 rep short of failure.
Intermediate difficulty: every movement is within the intermediate complexity and skill limits.</t>
        </is>
      </c>
      <c r="V21" s="2" t="n"/>
      <c r="W21" s="2" t="n"/>
    </row>
    <row r="22">
      <c r="A22" s="2" t="inlineStr">
        <is>
          <t>D. Irritated</t>
        </is>
      </c>
      <c r="B22" s="2" t="inlineStr">
        <is>
          <t>Lower Body: Hinge, 60, advanced</t>
        </is>
      </c>
      <c r="C22" s="2" t="inlineStr">
        <is>
          <t>wes / 2026-10-26</t>
        </is>
      </c>
      <c r="D22" s="2" t="inlineStr">
        <is>
          <t>irritated</t>
        </is>
      </c>
      <c r="E22" s="2" t="inlineStr">
        <is>
          <t>advanced</t>
        </is>
      </c>
      <c r="F22" s="2" t="inlineStr">
        <is>
          <t>Build muscle</t>
        </is>
      </c>
      <c r="G22" s="2" t="n">
        <v>60</v>
      </c>
      <c r="H22" s="2" t="inlineStr">
        <is>
          <t>Lower Body: Hinge</t>
        </is>
      </c>
      <c r="I22" s="2" t="inlineStr">
        <is>
          <t>none</t>
        </is>
      </c>
      <c r="J22" s="2" t="inlineStr">
        <is>
          <t>first session</t>
        </is>
      </c>
      <c r="K22" s="2" t="inlineStr">
        <is>
          <t>Lower Body: Hinge</t>
        </is>
      </c>
      <c r="L22" s="2" t="inlineStr">
        <is>
          <t>Traditional</t>
        </is>
      </c>
      <c r="M22" s="2" t="n">
        <v>58.3</v>
      </c>
      <c r="N22" s="2" t="n">
        <v>20</v>
      </c>
      <c r="O22" s="2" t="inlineStr"/>
      <c r="P22" s="2" t="inlineStr">
        <is>
          <t>Barbell Romanian Deadlift: 4 × 4–6  RIR 1  (Move the bar with intent: controlled down, drive up as fast as it will go. Stop each set with about 1 rep left in the tank.)  rest 195 s
Cable Pull-Through: 4 × 8–10  RIR 2  rest 135 s
Curtsy Lunge: 4 × 8–10/side  RIR 2  rest 135 s
Seated Leg Curl: 4 × 10–12  RIR 1  rest 60 s
Ab Wheel Rollout: 4 × 10–12  RIR 1  rest 60 s</t>
        </is>
      </c>
      <c r="Q22" s="2" t="inlineStr">
        <is>
          <t>You're irritated, so the session is built around heavy, direct work: Barbell Romanian Deadlift heavy and driven with intent, simple movements behind it and nothing fussy. No finisher needed; the load does the job. For muscle, the volume lives in the accessories: 2 movements at moderate reps behind Barbell Romanian Deadlift.</t>
        </is>
      </c>
      <c r="R22" s="2" t="inlineStr">
        <is>
          <t>Session: Lower Body: Hinge, variant traditional, 5 exercises, 20 working sets, est. 58.3 min for a 60-minute request; primary Barbell Romanian Deadlift 4 × 4–6 RIR 1; 0 superset(s), device none, methods none, finisher none.
[irr_adv] Irritated advanced: realized ['rest', 'tempo', 'reps']; heavy primary True, variant traditional, finisher False.
[goal] Goal build_muscle: ['2 accessory movements behind the main lift, 8 accessory sets in the 10–20 range'].
Coherence irritated: PASS
Within a rep of failure: Barbell Romanian Deadlift, Seated Leg Curl, Ab Wheel Rollout.
Demanding compounds (systemic 4+): Barbell Romanian Deadlift.</t>
        </is>
      </c>
      <c r="S22" s="2" t="inlineStr">
        <is>
          <t>state = irritated (expression: heavy_primary) → intended: direct_physical_cathartic_work → realized: Barbell Romanian Deadlift 5–7→4–6; Barbell Romanian Deadlift rest 165→195 s; Cable Pull-Through rest 120→135 s; Curtsy Lunge rest 120→135 s; explosive intent on Barbell Romanian Deadlift
experience = advanced → intended: match_programming_vocabulary_to_level → realized: Barbell Romanian Deadlift runs to RIR 1 (advanced band position); higher-complexity movements kept in: Barbell Romanian Deadlift, Curtsy Lunge, Ab Wheel Rollout
goal = build_muscle → intended: hypertrophy_volume_and_accessories → realized: 2 accessory movements behind the main lift, 8 accessory sets in the 10–20 range
duration = 60 → intended: fill_the_requested_time_with_useful_work → realized: estimated 58.3 min for a 60-minute request
equipment = commercial_gym → intended: availability_only → realized: nothing (no claim made)
history = first session → intended: rotate_shape_and_movements_keep_the_main_lift → realized: nothing (no claim made)</t>
        </is>
      </c>
      <c r="T22" s="2" t="inlineStr">
        <is>
          <t>irritated: attempt 0 expression 'forceful_finish' realized [] no-ops ['state_reps_no_effect'] → NOT satisfied
irritated: fallback forceful_finish → heavy_primary
irritated: attempt 1 expression 'heavy_primary' realized ['reps', 'rest', 'tempo'] no-ops [] → satisfied</t>
        </is>
      </c>
      <c r="U22" s="2" t="inlineStr">
        <is>
          <t>Barbell Romanian Deadlift (4 × 4–6) leads as the main lift, then 2 strength lifts and 2 accessories.
20 working sets across 5 exercises, about 58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V22" s="2" t="n"/>
      <c r="W22" s="2" t="n"/>
    </row>
    <row r="23">
      <c r="A23" s="2" t="inlineStr">
        <is>
          <t>E. Bored</t>
        </is>
      </c>
      <c r="B23" s="2" t="inlineStr">
        <is>
          <t>Upper Push, 60, intermediate</t>
        </is>
      </c>
      <c r="C23" s="2" t="inlineStr">
        <is>
          <t>wes / 2026-10-14</t>
        </is>
      </c>
      <c r="D23" s="2" t="inlineStr">
        <is>
          <t>bored</t>
        </is>
      </c>
      <c r="E23" s="2" t="inlineStr">
        <is>
          <t>intermediate</t>
        </is>
      </c>
      <c r="F23" s="2" t="inlineStr">
        <is>
          <t>Build muscle</t>
        </is>
      </c>
      <c r="G23" s="2" t="n">
        <v>60</v>
      </c>
      <c r="H23" s="2" t="inlineStr">
        <is>
          <t>Upper Push</t>
        </is>
      </c>
      <c r="I23" s="2" t="inlineStr">
        <is>
          <t>none</t>
        </is>
      </c>
      <c r="J23" s="2" t="inlineStr">
        <is>
          <t>first session</t>
        </is>
      </c>
      <c r="K23" s="2" t="inlineStr">
        <is>
          <t>Upper Push</t>
        </is>
      </c>
      <c r="L23" s="2" t="inlineStr">
        <is>
          <t>Compound + Paired Accessories</t>
        </is>
      </c>
      <c r="M23" s="2" t="n">
        <v>53.8</v>
      </c>
      <c r="N23" s="2" t="n">
        <v>19</v>
      </c>
      <c r="O23" s="2" t="inlineStr">
        <is>
          <t>one_and_half</t>
        </is>
      </c>
      <c r="P23" s="2" t="inlineStr">
        <is>
          <t>Barbell Bench Press: 4 × 5–7  RIR 2  rest 180 s
Parallel Bar Dip: 4 × 8–10  RIR 2  rest 120 s
Smith Machine Incline Press: 4 × 8–10 · 1.5 reps  RIR 2  (Full rep, half rep from the stretched position, back to the top: that is one rep. Stop each set with about 2 reps left in the tank.)  rest 120 s
SUPERSET A (2 rounds, rest 60 s after each round)
  A1 Low-to-High Cable Fly: 2 × 12–15  RIR 1
  A2 Dumbbell Overhead Triceps Extension: 2 × 12–15  RIR 1
LADDER Cross-Body Cable Triceps Extension: 3 sets: 15/12/9  RIR 1  rest 30 s</t>
        </is>
      </c>
      <c r="Q23" s="2" t="inlineStr">
        <is>
          <t>You're bored today, so we're changing the feel with 1.5 reps on the Smith Machine Incline Press and bringing in 3 less-familiar movements. As an intermediate lifter, 1.5 reps on Smith Machine Incline Press is on the table. For muscle, the volume lives in the accessories: 3 movements at moderate reps behind Barbell Bench Press.</t>
        </is>
      </c>
      <c r="R23" s="2" t="inlineStr">
        <is>
          <t>Session: Upper Push, variant paired, 6 exercises, 19 working sets, est. 53.8 min for a 60-minute request; primary Barbell Bench Press 4 × 5–7 RIR 2; 1 superset(s), device ladder, methods ['1.5 reps on Smith Machine Incline Press'], finisher none.
[bored] Bored realized ['exercises', 'set_method']; novel movements ['Low-to-High Cable Fly', 'Cross-Body Cable Triceps Extension'].
[level] Intermediate: ['1.5 reps on Smith Machine Incline Press (intermediate and up)', 'intermediate pool: Barbell Bench Press, Parallel Bar Dip'].
[goal] Goal build_muscle: ['Compound + Paired Accessories shape (muscle goal weights it up)', '3 accessory movements behind the main lift, 7 accessory sets in the 10–20 range', '1.5 reps on Smith Machine Incline Press'].
Coherence bored: PASS
Within a rep of failure: Low-to-High Cable Fly, Dumbbell Overhead Triceps Extension, Cross-Body Cable Triceps Extension.</t>
        </is>
      </c>
      <c r="S23" s="2" t="inlineStr">
        <is>
          <t>state = bored (expression: new_structure) → intended: refresh_the_experience → realized: 1.5 reps on Smith Machine Incline Press; Dumbbell Fly → Low-to-High Cable Fly; Cable Triceps Pressdown → Dumbbell Overhead Triceps Extension; EZ-Bar Skull Crusher → Cross-Body Cable Triceps Extension
experience = intermediate → intended: match_programming_vocabulary_to_level → realized: 1.5 reps on Smith Machine Incline Press (intermediate and up); intermediate pool: Barbell Bench Press, Parallel Bar Dip
goal = build_muscle → intended: hypertrophy_volume_and_accessories → realized: Compound + Paired Accessories shape (muscle goal weights it up); 3 accessory movements behind the main lift, 7 accessory sets in the 10–20 range; 1.5 reps on Smith Machine Incline Press
duration = 60 → intended: fill_the_requested_time_with_useful_work → realized: trimmed to fit: set_removed; estimated 53.8 min for a 60-minute request
equipment = commercial_gym → intended: availability_only → realized: nothing (no claim made)
history = first session → intended: rotate_shape_and_movements_keep_the_main_lift → realized: nothing (no claim made)</t>
        </is>
      </c>
      <c r="T23" s="2" t="inlineStr">
        <is>
          <t>bored: attempt 0 expression 'new_structure' realized ['set_method', 'exercises'] no-ops [] → satisfied</t>
        </is>
      </c>
      <c r="U23" s="2" t="inlineStr">
        <is>
          <t>Barbell Bench Press (4 × 5–7) leads as the main lift, then 2 strength lifts and 3 accessories, with part of it run as a superset.
19 working sets across 6 exercises, about 54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23" s="2" t="n"/>
      <c r="W23" s="2" t="n"/>
    </row>
    <row r="24">
      <c r="A24" s="2" t="inlineStr">
        <is>
          <t>E. Bored</t>
        </is>
      </c>
      <c r="B24" s="2" t="inlineStr">
        <is>
          <t>Lower Body: Squat, 60, intermediate</t>
        </is>
      </c>
      <c r="C24" s="2" t="inlineStr">
        <is>
          <t>wes / 2026-10-26</t>
        </is>
      </c>
      <c r="D24" s="2" t="inlineStr">
        <is>
          <t>bored</t>
        </is>
      </c>
      <c r="E24" s="2" t="inlineStr">
        <is>
          <t>intermediate</t>
        </is>
      </c>
      <c r="F24" s="2" t="inlineStr">
        <is>
          <t>Build muscle</t>
        </is>
      </c>
      <c r="G24" s="2" t="n">
        <v>60</v>
      </c>
      <c r="H24" s="2" t="inlineStr">
        <is>
          <t>Lower Body: Squat</t>
        </is>
      </c>
      <c r="I24" s="2" t="inlineStr">
        <is>
          <t>none</t>
        </is>
      </c>
      <c r="J24" s="2" t="inlineStr">
        <is>
          <t>first session</t>
        </is>
      </c>
      <c r="K24" s="2" t="inlineStr">
        <is>
          <t>Lower Body: Squat</t>
        </is>
      </c>
      <c r="L24" s="2" t="inlineStr">
        <is>
          <t>Compound + Paired Accessories</t>
        </is>
      </c>
      <c r="M24" s="2" t="n">
        <v>55.2</v>
      </c>
      <c r="N24" s="2" t="n">
        <v>20</v>
      </c>
      <c r="O24" s="2" t="inlineStr">
        <is>
          <t>one_and_half</t>
        </is>
      </c>
      <c r="P24" s="2" t="inlineStr">
        <is>
          <t>Barbell Back Squat: 4 × 5–7  RIR 2  rest 180 s
Leg Press: 4 × 8–10 · 1.5 reps  RIR 2  (Full rep, half rep from the stretched position, back to the top: that is one rep. Stop each set with about 2 reps left in the tank.)  rest 120 s
Lateral Step-Up: 4 × 8–10/side  RIR 2  rest 120 s
SUPERSET A (4 rounds, rest 60 s after each round)
  A1 Reverse Nordic Curl: 4 × 12–15  RIR 1
  A2 Roman Chair / GHD Glute-Ham Raise: 4 × 12–15  RIR 1</t>
        </is>
      </c>
      <c r="Q24" s="2" t="inlineStr">
        <is>
          <t>You're bored today, so we're changing the feel with 1.5 reps on the Leg Press and bringing in 2 less-familiar movements. As an intermediate lifter, 1.5 reps on Leg Press is on the table, and for muscle, the volume lives in the accessories: 2 movements at moderate reps behind Barbell Back Squat.</t>
        </is>
      </c>
      <c r="R24" s="2" t="inlineStr">
        <is>
          <t>Session: Lower Body: Squat, variant paired, 5 exercises, 20 working sets, est. 55.2 min for a 60-minute request; primary Barbell Back Squat 4 × 5–7 RIR 2; 1 superset(s), device none, methods ['1.5 reps on Leg Press'], finisher none.
[bored] Bored realized ['exercises', 'set_method']; novel movements ['Lateral Step-Up', 'Reverse Nordic Curl', 'Roman Chair / GHD Glute-Ham Raise'].
[level] Intermediate: ['1.5 reps on Leg Press (intermediate and up)', 'intermediate pool: Barbell Back Squat, Roman Chair / GHD Glute-Ham Raise'].
[goal] Goal build_muscle: ['Compound + Paired Accessories shape (muscle goal weights it up)', '2 accessory movements behind the main lift, 8 accessory sets in the 10–20 range', '1.5 reps on Leg Press'].
Coherence bored: PASS
Within a rep of failure: Reverse Nordic Curl, Roman Chair / GHD Glute-Ham Raise.
Demanding compounds (systemic 4+): Barbell Back Squat.</t>
        </is>
      </c>
      <c r="S24" s="2" t="inlineStr">
        <is>
          <t>state = bored (expression: new_exercises) → intended: refresh_the_experience → realized: 1.5 reps on Leg Press; Bulgarian Split Squat → Lateral Step-Up; Leg Extension → Reverse Nordic Curl
experience = intermediate → intended: match_programming_vocabulary_to_level → realized: 1.5 reps on Leg Press (intermediate and up); intermediate pool: Barbell Back Squat, Roman Chair / GHD Glute-Ham Raise
goal = build_muscle → intended: hypertrophy_volume_and_accessories → realized: Compound + Paired Accessories shape (muscle goal weights it up); 2 accessory movements behind the main lift, 8 accessory sets in the 10–20 range; 1.5 reps on Leg Press
duration = 60 → intended: fill_the_requested_time_with_useful_work → realized: estimated 55.2 min for a 60-minute request
equipment = commercial_gym → intended: availability_only → realized: nothing (no claim made)
history = first session → intended: rotate_shape_and_movements_keep_the_main_lift → realized: nothing (no claim made)</t>
        </is>
      </c>
      <c r="T24" s="2" t="inlineStr">
        <is>
          <t>bored: attempt 0 expression 'new_exercises' realized ['set_method', 'exercises'] no-ops [] → satisfied</t>
        </is>
      </c>
      <c r="U24" s="2" t="inlineStr">
        <is>
          <t>Barbell Back Squat (4 × 5–7) leads as the main lift, then 2 strength lifts and 2 accessories, with part of it run as a superset.
20 working sets across 5 exercises, about 55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24" s="2" t="n"/>
      <c r="W24" s="2" t="n"/>
    </row>
    <row r="25">
      <c r="A25" s="2" t="inlineStr">
        <is>
          <t>E. Bored</t>
        </is>
      </c>
      <c r="B25" s="2" t="inlineStr">
        <is>
          <t>Arms, 30, intermediate</t>
        </is>
      </c>
      <c r="C25" s="2" t="inlineStr">
        <is>
          <t>wes / 2026-10-27</t>
        </is>
      </c>
      <c r="D25" s="2" t="inlineStr">
        <is>
          <t>bored</t>
        </is>
      </c>
      <c r="E25" s="2" t="inlineStr">
        <is>
          <t>intermediate</t>
        </is>
      </c>
      <c r="F25" s="2" t="inlineStr">
        <is>
          <t>Build muscle</t>
        </is>
      </c>
      <c r="G25" s="2" t="n">
        <v>30</v>
      </c>
      <c r="H25" s="2" t="inlineStr">
        <is>
          <t>Arms</t>
        </is>
      </c>
      <c r="I25" s="2" t="inlineStr">
        <is>
          <t>none</t>
        </is>
      </c>
      <c r="J25" s="2" t="inlineStr">
        <is>
          <t>first session</t>
        </is>
      </c>
      <c r="K25" s="2" t="inlineStr">
        <is>
          <t>Arms</t>
        </is>
      </c>
      <c r="L25" s="2" t="inlineStr">
        <is>
          <t>Efficient</t>
        </is>
      </c>
      <c r="M25" s="2" t="n">
        <v>25.5</v>
      </c>
      <c r="N25" s="2" t="n">
        <v>12</v>
      </c>
      <c r="O25" s="2" t="inlineStr"/>
      <c r="P25" s="2" t="inlineStr">
        <is>
          <t>SUPERSET A (4 rounds, rest 120 s after each round)
  A1 High Cable Curl: 4 × 10–12  RIR 2
  A2 Dumbbell Skull Crusher: 4 × 10–12  RIR 2
Lu Raise: 4 × 15–20  RIR 1  rest 45 s</t>
        </is>
      </c>
      <c r="Q25" s="2" t="inlineStr">
        <is>
          <t>You're bored today, so we're bringing in 1 less-familiar movement. Your muscle goal is why 1 accessory movement carries the session at moderate reps.</t>
        </is>
      </c>
      <c r="R25" s="2" t="inlineStr">
        <is>
          <t>Session: Arms, variant efficient, 3 exercises, 12 working sets, est. 25.5 min for a 30-minute request; primary none (no primary compound in this archetype); 1 superset(s), device none, methods none, finisher none.
[bored] Bored realized ['exercises']; novel movements ['High Cable Curl', 'Lu Raise'].
[goal] Goal build_muscle: ['1 accessory movement, 4 accessory sets in the 10–20 range'].
Coherence bored: PASS
Within a rep of failure: Lu Raise.</t>
        </is>
      </c>
      <c r="S25" s="2" t="inlineStr">
        <is>
          <t>state = bored (expression: new_structure) → intended: refresh_the_experience → realized: Dumbbell Lateral Raise → Lu Raise
experience = intermediate → intended: match_programming_vocabulary_to_level → realized: intermediate pool: Lu Raise
goal = build_muscle → intended: hypertrophy_volume_and_accessories → realized: 1 accessory movement, 4 accessory sets in the 10–20 range
duration = 30 → intended: fill_the_requested_time_with_useful_work → realized: filled toward the requested time: rest_extended, set_added; 30-minute session: 3 exercises, 12 working sets, main work kept; estimated 25.5 min for a 30-minute request
equipment = commercial_gym → intended: availability_only → realized: nothing (no claim made)
history = first session → intended: rotate_shape_and_movements_keep_the_main_lift → realized: nothing (no claim made)</t>
        </is>
      </c>
      <c r="T25" s="2" t="inlineStr">
        <is>
          <t>bored: attempt 0 expression 'new_structure' realized ['exercises'] no-ops [] → satisfied</t>
        </is>
      </c>
      <c r="U25" s="2" t="inlineStr">
        <is>
          <t>30 minutes: 3 exercises and 12 working sets, with the main work kept.
High Cable Curl (4 × 10–12) opens the session, then 2 strength lifts and 1 accessory, with part of it run as a superset.
12 working sets across 3 exercises, about 26 minutes.
Main work stops about 2 reps short of failure, accessories about 1 rep short of failure.
Intermediate difficulty: every movement is within the intermediate complexity and skill limits.</t>
        </is>
      </c>
      <c r="V25" s="2" t="n"/>
      <c r="W25" s="2" t="n"/>
    </row>
    <row r="26">
      <c r="A26" s="2" t="inlineStr">
        <is>
          <t>E. Bored</t>
        </is>
      </c>
      <c r="B26" s="2" t="inlineStr">
        <is>
          <t>Upper Pull, 60, advanced</t>
        </is>
      </c>
      <c r="C26" s="2" t="inlineStr">
        <is>
          <t>wes / 2026-10-28</t>
        </is>
      </c>
      <c r="D26" s="2" t="inlineStr">
        <is>
          <t>bored</t>
        </is>
      </c>
      <c r="E26" s="2" t="inlineStr">
        <is>
          <t>advanced</t>
        </is>
      </c>
      <c r="F26" s="2" t="inlineStr">
        <is>
          <t>Build muscle</t>
        </is>
      </c>
      <c r="G26" s="2" t="n">
        <v>60</v>
      </c>
      <c r="H26" s="2" t="inlineStr">
        <is>
          <t>Upper Pull</t>
        </is>
      </c>
      <c r="I26" s="2" t="inlineStr">
        <is>
          <t>none</t>
        </is>
      </c>
      <c r="J26" s="2" t="inlineStr">
        <is>
          <t>first session</t>
        </is>
      </c>
      <c r="K26" s="2" t="inlineStr">
        <is>
          <t>Upper Pull</t>
        </is>
      </c>
      <c r="L26" s="2" t="inlineStr">
        <is>
          <t>Volume</t>
        </is>
      </c>
      <c r="M26" s="2" t="n">
        <v>56</v>
      </c>
      <c r="N26" s="2" t="n">
        <v>18</v>
      </c>
      <c r="O26" s="2" t="inlineStr">
        <is>
          <t>drop_set, one_and_half</t>
        </is>
      </c>
      <c r="P26" s="2" t="inlineStr">
        <is>
          <t>Chest-Supported Machine Row: 4 × 6–8  RIR 2  rest 150 s
Pull-Up: 4 × 10–12  RIR 2  rest 120 s
Meadows Row: 4 × 10–12/side  RIR 2  rest 120 s
Dumbbell Pullover: 2 × 12–15 · drop set on the final set  RIR 1  (On the last set, hit the reps, drop the load about 25% and go again to the same reps-in-reserve. Stop each set with about 1 rep left in the tank.)  rest 60 s
Bayesian Cable Curl: 2 × 12–15/side · 1.5 reps  RIR 1  (Full rep, half rep from the stretched position, back to the top: that is one rep. Stop each set with about 1 rep left in the tank.)  rest 60 s
Barbell Curl: 2 × 12–15  RIR 1  rest 60 s</t>
        </is>
      </c>
      <c r="Q26" s="2" t="inlineStr">
        <is>
          <t>You're bored, so the novelty is the sophisticated kind: drop set on the final set on Dumbbell Pullover and 4 less-familiar movements. For muscle, the volume lives in the accessories: 3 movements at moderate reps behind Chest-Supported Machine Row.</t>
        </is>
      </c>
      <c r="R26" s="2" t="inlineStr">
        <is>
          <t>Session: Upper Pull, variant volume, 6 exercises, 18 working sets, est. 56.0 min for a 60-minute request; primary Chest-Supported Machine Row 4 × 6–8 RIR 2; 0 superset(s), device none, methods ['drop set on the final set on Dumbbell Pullover', '1.5 reps on Bayesian Cable Curl'], finisher none.
[bored_adv] Bored advanced: realized ['exercises', 'set_method']; methods [('drop set on the final set', 'Dumbbell Pullover'), ('1.5 reps', 'Bayesian Cable Curl')]; complexity-3+ movements ['Pull-Up', 'Meadows Row']; continuity False.
[goal] Goal build_muscle: ['Volume shape (muscle goal weights it up)', '3 accessory movements behind the main lift, 6 accessory sets in the 10–20 range', 'drop set on the final set on Dumbbell Pullover', '1.5 reps on Bayesian Cable Curl'].
Coherence bored: PASS
Within a rep of failure: Dumbbell Pullover, Bayesian Cable Curl, Barbell Curl.</t>
        </is>
      </c>
      <c r="S26" s="2" t="inlineStr">
        <is>
          <t>state = bored (expression: new_exercises) → intended: refresh_the_experience → realized: drop set on the final set on Dumbbell Pullover; 1.5 reps on Bayesian Cable Curl; T-Bar Row → Meadows Row; Straight-Arm Pulldown → Dumbbell Pullover; EZ-Bar Curl → Bayesian Cable Curl; Spider Curl → Barbell Curl
experience = advanced → intended: match_programming_vocabulary_to_level → realized: drop set on the final set on Dumbbell Pullover; 1.5 reps on Bayesian Cable Curl; higher-complexity movements kept in: Pull-Up, Meadows Row
goal = build_muscle → intended: hypertrophy_volume_and_accessories → realized: Volume shape (muscle goal weights it up); 3 accessory movements behind the main lift, 6 accessory sets in the 10–20 range; drop set on the final set on Dumbbell Pullover; 1.5 reps on Bayesian Cable Curl
duration = 60 → intended: fill_the_requested_time_with_useful_work → realized: trimmed to fit: accessory_rest_shortened, set_removed; estimated 56.0 min for a 60-minute request
equipment = commercial_gym → intended: availability_only → realized: nothing (no claim made)
history = first session → intended: rotate_shape_and_movements_keep_the_main_lift → realized: nothing (no claim made)</t>
        </is>
      </c>
      <c r="T26" s="2" t="inlineStr">
        <is>
          <t>bored: attempt 0 expression 'new_exercises' realized ['set_method', 'set_method', 'exercises'] no-ops [] → satisfied</t>
        </is>
      </c>
      <c r="U26" s="2" t="inlineStr">
        <is>
          <t>Chest-Supported Machine Row (4 × 6–8) leads as the main lift, then 2 strength lifts and 3 accessories.
18 working sets across 6 exercises, about 56 minutes.
Main work stops about 2 reps short of failure, accessories about 1 rep short of failure.
Advanced difficulty keeps the full exercise range open; today the best fits sit within it without needing the most complex options.
Your profile goal is to build muscle; today's Strength session is built from today's choices.</t>
        </is>
      </c>
      <c r="V26" s="2" t="n"/>
      <c r="W26" s="2" t="n"/>
    </row>
    <row r="27">
      <c r="A27" s="2" t="inlineStr">
        <is>
          <t>E. Bored</t>
        </is>
      </c>
      <c r="B27" s="2" t="inlineStr">
        <is>
          <t>Upper Pull, 60, beginner (same seed)</t>
        </is>
      </c>
      <c r="C27" s="2" t="inlineStr">
        <is>
          <t>wes / 2026-10-28</t>
        </is>
      </c>
      <c r="D27" s="2" t="inlineStr">
        <is>
          <t>bored</t>
        </is>
      </c>
      <c r="E27" s="2" t="inlineStr">
        <is>
          <t>beginner</t>
        </is>
      </c>
      <c r="F27" s="2" t="inlineStr">
        <is>
          <t>Build muscle</t>
        </is>
      </c>
      <c r="G27" s="2" t="n">
        <v>60</v>
      </c>
      <c r="H27" s="2" t="inlineStr">
        <is>
          <t>Upper Pull</t>
        </is>
      </c>
      <c r="I27" s="2" t="inlineStr">
        <is>
          <t>none</t>
        </is>
      </c>
      <c r="J27" s="2" t="inlineStr">
        <is>
          <t>first session</t>
        </is>
      </c>
      <c r="K27" s="2" t="inlineStr">
        <is>
          <t>Upper Pull</t>
        </is>
      </c>
      <c r="L27" s="2" t="inlineStr">
        <is>
          <t>Volume</t>
        </is>
      </c>
      <c r="M27" s="2" t="n">
        <v>53.9</v>
      </c>
      <c r="N27" s="2" t="n">
        <v>18</v>
      </c>
      <c r="O27" s="2" t="inlineStr"/>
      <c r="P27" s="2" t="inlineStr">
        <is>
          <t>Chest-Supported Machine Row: 4 × 8–10  RIR 3  (Stop each set with about 3 reps left in the tank.)  rest 135 s
Lat Pulldown: 4 × 10–12  RIR 2  rest 120 s
Assisted Pull-Up Machine: 4 × 10–12  RIR 2  rest 120 s
Dumbbell Pullover: 2 × 15–20  RIR 2  rest 60 s
Bayesian Cable Curl: 2 × 15–20/side  RIR 2  rest 60 s
EZ-Bar Preacher Curl: 2 × 15–20  RIR 2  rest 60 s</t>
        </is>
      </c>
      <c r="Q27" s="2" t="inlineStr">
        <is>
          <t>You're bored today, so we're bringing in 2 less-familiar movements. As a newer lifter, you get approachable movements and two reps in reserve on the main work; the progress comes from adding load, not from grinding. For muscle, the volume lives in the accessories: 3 movements at moderate reps behind Chest-Supported Machine Row.</t>
        </is>
      </c>
      <c r="R27" s="2" t="inlineStr">
        <is>
          <t>Session: Upper Pull, variant volume, 6 exercises, 18 working sets, est. 53.9 min for a 60-minute request; primary Chest-Supported Machine Row 4 × 8–10 RIR 3; 0 superset(s), device none, methods none, finisher none.
[bored] Bored realized ['exercises']; novel movements ['Dumbbell Pullover', 'Bayesian Cable Curl'].
[level] Beginner: ['beginner bands: every lift keeps 2+ reps in reserve, no exercise above 4 sets', 'beginner-rated, low-complexity movements only', 'no advanced set methods'].
[goal] Goal build_muscle: ['Volume shape (muscle goal weights it up)', '3 accessory movements behind the main lift, 6 accessory sets in the 10–20 range'].
Coherence bored: PASS</t>
        </is>
      </c>
      <c r="S27" s="2" t="inlineStr">
        <is>
          <t>state = bored (expression: new_exercises) → intended: refresh_the_experience → realized: EZ-Bar Preacher Curl → Bayesian Cable Curl; Barbell Curl → EZ-Bar Preacher Curl
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Volume shape (muscle goal weights it up); 3 accessory movements behind the main lift, 6 accessory sets in the 10–20 range
duration = 60 → intended: fill_the_requested_time_with_useful_work → realized: trimmed to fit: accessory_rest_shortened, set_removed; estimated 53.9 min for a 60-minute request
equipment = commercial_gym → intended: availability_only → realized: nothing (no claim made)
history = first session → intended: rotate_shape_and_movements_keep_the_main_lift → realized: nothing (no claim made)</t>
        </is>
      </c>
      <c r="T27" s="2" t="inlineStr">
        <is>
          <t>bored: attempt 0 expression 'new_exercises' realized ['exercises'] no-ops [] → satisfied</t>
        </is>
      </c>
      <c r="U27" s="2" t="inlineStr">
        <is>
          <t>Beginner difficulty applies MOOD's beginner exercise rules: all 6 movements are beginner-rated and technically approachable.
Chest-Supported Machine Row (4 × 8–10) leads as the main lift, then 2 strength lifts and 3 accessories.
18 working sets across 6 exercises, about 54 minutes.
Main work stops about 3 reps short of failure, accessories about 2 reps short of failure.
Your profile goal is to build muscle; today's Strength session is built from today's choices.</t>
        </is>
      </c>
      <c r="V27" s="2" t="n"/>
      <c r="W27" s="2" t="n"/>
    </row>
    <row r="28">
      <c r="A28" s="2" t="inlineStr">
        <is>
          <t>F. Stressed</t>
        </is>
      </c>
      <c r="B28" s="2" t="inlineStr">
        <is>
          <t>Upper Push, 60, intermediate</t>
        </is>
      </c>
      <c r="C28" s="2" t="inlineStr">
        <is>
          <t>wes / 2026-10-14</t>
        </is>
      </c>
      <c r="D28" s="2" t="inlineStr">
        <is>
          <t>stressed</t>
        </is>
      </c>
      <c r="E28" s="2" t="inlineStr">
        <is>
          <t>intermediate</t>
        </is>
      </c>
      <c r="F28" s="2" t="inlineStr">
        <is>
          <t>Build muscle</t>
        </is>
      </c>
      <c r="G28" s="2" t="n">
        <v>60</v>
      </c>
      <c r="H28" s="2" t="inlineStr">
        <is>
          <t>Upper Push</t>
        </is>
      </c>
      <c r="I28" s="2" t="inlineStr">
        <is>
          <t>none</t>
        </is>
      </c>
      <c r="J28" s="2" t="inlineStr">
        <is>
          <t>first session</t>
        </is>
      </c>
      <c r="K28" s="2" t="inlineStr">
        <is>
          <t>Upper Push</t>
        </is>
      </c>
      <c r="L28" s="2" t="inlineStr">
        <is>
          <t>Traditional</t>
        </is>
      </c>
      <c r="M28" s="2" t="n">
        <v>51.6</v>
      </c>
      <c r="N28" s="2" t="n">
        <v>20</v>
      </c>
      <c r="O28" s="2" t="inlineStr"/>
      <c r="P28" s="2" t="inlineStr">
        <is>
          <t>Barbell Bench Press: 5 × 5–7  RIR 2  rest 165 s
Parallel Bar Dip: 4 × 8–10  RIR 2  rest 120 s
Plate-Loaded Incline Press: 3 × 10–12  RIR 2  rest 120 s
SUPERSET A (4 rounds, rest 60 s after each round)
  A1 Dumbbell Fly: 4 × 10–12  RIR 1
  A2 Machine Triceps Extension: 4 × 10–12  RIR 1</t>
        </is>
      </c>
      <c r="Q28" s="2" t="inlineStr">
        <is>
          <t>You're stressed today, so the session runs on autopilot: a simple, predictable structure, familiar movements and one thing fewer to set up. For muscle, the volume lives in the accessories: 2 movements at moderate reps behind Barbell Bench Press.</t>
        </is>
      </c>
      <c r="R28" s="2" t="inlineStr">
        <is>
          <t>Session: Upper Push, variant traditional, 5 exercises, 20 working sets, est. 51.6 min for a 60-minute request; primary Barbell Bench Press 5 × 5–7 RIR 2; 1 superset(s), device none, methods none, finisher none.
[stressed] Stressed realized ['structure', 'slot_removed', 'exercises']; variant traditional, pairs 1, device None, methods []; physical stimulus kept: False.
[goal] Goal build_muscle: ['2 accessory movements behind the main lift, 8 accessory sets in the 10–20 range'].
Coherence stressed: PASS
Compound redundancy trimmed (family limit 1): machine_incline_press 4 × 8–10 → 3 × 10–12
Within a rep of failure: Dumbbell Fly, Machine Triceps Extension.</t>
        </is>
      </c>
      <c r="S28" s="2" t="inlineStr">
        <is>
          <t>state = stressed (expression: simpler) → intended: reduce_cognitive_load → realized: left out Overhead Cable Triceps Extension; Traditional instead of Compound + Paired Accessories; Smith Machine Incline Press → Plate-Loaded Incline Press; Cable Triceps Pressdown → Machine Triceps Extension
experience = intermediate → intended: match_programming_vocabulary_to_level → realized: intermediate pool: Barbell Bench Press, Parallel Bar Dip
goal = build_muscle → intended: hypertrophy_volume_and_accessories → realized: 2 accessory movements behind the main lift, 8 accessory sets in the 10–20 range
duration = 60 → intended: fill_the_requested_time_with_useful_work → realized: filled toward the requested time: primary_set_added; estimated 51.6 min for a 60-minute request
equipment = commercial_gym → intended: availability_only → realized: nothing (no claim made)
history = first session → intended: rotate_shape_and_movements_keep_the_main_lift → realized: nothing (no claim made)</t>
        </is>
      </c>
      <c r="T28" s="2" t="inlineStr">
        <is>
          <t>stressed: attempt 0 expression 'simpler' realized ['slot_removed', 'structure', 'exercises'] no-ops [] → satisfied</t>
        </is>
      </c>
      <c r="U28" s="2" t="inlineStr">
        <is>
          <t>Barbell Bench Press (5 × 5–7) leads as the main lift, then 2 strength lifts and 2 accessories, with part of it run as a superset.
20 working sets across 5 exercises, about 52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28" s="2" t="n"/>
      <c r="W28" s="2" t="n"/>
    </row>
    <row r="29">
      <c r="A29" s="2" t="inlineStr">
        <is>
          <t>F. Stressed</t>
        </is>
      </c>
      <c r="B29" s="2" t="inlineStr">
        <is>
          <t>Lower Body: Hinge, 60, intermediate</t>
        </is>
      </c>
      <c r="C29" s="2" t="inlineStr">
        <is>
          <t>wes / 2026-10-28</t>
        </is>
      </c>
      <c r="D29" s="2" t="inlineStr">
        <is>
          <t>stressed</t>
        </is>
      </c>
      <c r="E29" s="2" t="inlineStr">
        <is>
          <t>intermediate</t>
        </is>
      </c>
      <c r="F29" s="2" t="inlineStr">
        <is>
          <t>Build muscle</t>
        </is>
      </c>
      <c r="G29" s="2" t="n">
        <v>60</v>
      </c>
      <c r="H29" s="2" t="inlineStr">
        <is>
          <t>Lower Body: Hinge</t>
        </is>
      </c>
      <c r="I29" s="2" t="inlineStr">
        <is>
          <t>none</t>
        </is>
      </c>
      <c r="J29" s="2" t="inlineStr">
        <is>
          <t>first session</t>
        </is>
      </c>
      <c r="K29" s="2" t="inlineStr">
        <is>
          <t>Lower Body: Hinge</t>
        </is>
      </c>
      <c r="L29" s="2" t="inlineStr">
        <is>
          <t>Traditional</t>
        </is>
      </c>
      <c r="M29" s="2" t="n">
        <v>56.6</v>
      </c>
      <c r="N29" s="2" t="n">
        <v>20</v>
      </c>
      <c r="O29" s="2" t="inlineStr"/>
      <c r="P29" s="2" t="inlineStr">
        <is>
          <t>Dumbbell Romanian Deadlift: 4 × 5–7  RIR 2  rest 165 s
Cable Pull-Through: 4 × 8–10  RIR 2  (Controlled tempo: 3 s lowering, smooth drive, no bounce. Stop each set with about 2 reps left in the tank.)  rest 120 s
Reverse Lunge: 4 × 8–10/side  RIR 2  (Controlled tempo: 3 s lowering, smooth drive, no bounce. Stop each set with about 2 reps left in the tank.)  rest 120 s
Seated Leg Curl: 4 × 10–12  RIR 1  rest 60 s
Weighted Plank: 4 × 30–45 sec  RIR 1  rest 60 s</t>
        </is>
      </c>
      <c r="Q29" s="2" t="inlineStr">
        <is>
          <t>You're stressed today, so the session runs on autopilot: a simple, predictable structure, familiar movements and controlled, rhythmic reps. For muscle, the volume lives in the accessories: 2 movements at moderate reps behind Dumbbell Romanian Deadlift.</t>
        </is>
      </c>
      <c r="R29" s="2" t="inlineStr">
        <is>
          <t>Session: Lower Body: Hinge, variant traditional, 5 exercises, 20 working sets, est. 56.6 min for a 60-minute request; primary Dumbbell Romanian Deadlift 4 × 5–7 RIR 2; 0 superset(s), device none, methods none, finisher none.
[stressed] Stressed realized ['structure', 'tempo', 'exercises', 'complexity_or_systemic_cap']; variant traditional, pairs 0, device None, methods []; physical stimulus kept: False.
[goal] Goal build_muscle: ['2 accessory movements behind the main lift, 8 accessory sets in the 10–20 range'].
Coherence stressed: PASS
Within a rep of failure: Seated Leg Curl, Weighted Plank.</t>
        </is>
      </c>
      <c r="S29" s="2" t="inlineStr">
        <is>
          <t>state = stressed (expression: controlled) → intended: reduce_cognitive_load → realized: controlled on Cable Pull-Through, Reverse Lunge; Traditional instead of Compound + Paired Accessories; Curtsy Lunge out (complexity / systemic cost); Standing Single-Leg Curl → Seated Leg Curl
experience = intermediate → intended: match_programming_vocabulary_to_level → realized: nothing (no claim made)
goal = build_muscle → intended: hypertrophy_volume_and_accessories → realized: 2 accessory movements behind the main lift, 8 accessory sets in the 10–20 range
duration = 60 → intended: fill_the_requested_time_with_useful_work → realized: estimated 56.6 min for a 60-minute request
equipment = commercial_gym → intended: availability_only → realized: nothing (no claim made)
history = first session → intended: rotate_shape_and_movements_keep_the_main_lift → realized: nothing (no claim made)</t>
        </is>
      </c>
      <c r="T29" s="2" t="inlineStr">
        <is>
          <t>stressed: attempt 0 expression 'controlled' realized ['tempo', 'structure', 'complexity_or_systemic_cap', 'exercises'] no-ops ['state_rir_no_effect'] → satisfied</t>
        </is>
      </c>
      <c r="U29" s="2" t="inlineStr">
        <is>
          <t>Dumbbell Romanian Deadlift (4 × 5–7) leads as the main lift, then 2 strength lifts and 2 accessories.
20 working sets across 5 exercises, about 57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29" s="2" t="n"/>
      <c r="W29" s="2" t="n"/>
    </row>
    <row r="30">
      <c r="A30" s="2" t="inlineStr">
        <is>
          <t>F. Stressed</t>
        </is>
      </c>
      <c r="B30" s="2" t="inlineStr">
        <is>
          <t>Upper Pull, 30, intermediate</t>
        </is>
      </c>
      <c r="C30" s="2" t="inlineStr">
        <is>
          <t>wes / 2026-10-29</t>
        </is>
      </c>
      <c r="D30" s="2" t="inlineStr">
        <is>
          <t>stressed</t>
        </is>
      </c>
      <c r="E30" s="2" t="inlineStr">
        <is>
          <t>intermediate</t>
        </is>
      </c>
      <c r="F30" s="2" t="inlineStr">
        <is>
          <t>Build muscle</t>
        </is>
      </c>
      <c r="G30" s="2" t="n">
        <v>30</v>
      </c>
      <c r="H30" s="2" t="inlineStr">
        <is>
          <t>Upper Pull</t>
        </is>
      </c>
      <c r="I30" s="2" t="inlineStr">
        <is>
          <t>none</t>
        </is>
      </c>
      <c r="J30" s="2" t="inlineStr">
        <is>
          <t>first session</t>
        </is>
      </c>
      <c r="K30" s="2" t="inlineStr">
        <is>
          <t>Upper Pull</t>
        </is>
      </c>
      <c r="L30" s="2" t="inlineStr">
        <is>
          <t>Traditional</t>
        </is>
      </c>
      <c r="M30" s="2" t="n">
        <v>25.6</v>
      </c>
      <c r="N30" s="2" t="n">
        <v>9</v>
      </c>
      <c r="O30" s="2" t="inlineStr"/>
      <c r="P30" s="2" t="inlineStr">
        <is>
          <t>Barbell Row: 3 × 5–7  RIR 2  rest 150 s
Pull-Up: 3 × 8–10  RIR 2  (Controlled tempo: 3 s lowering, smooth drive, no bounce. Stop each set with about 2 reps left in the tank.)  rest 105 s
Cable Curl: 3 × 10–12  RIR 1  rest 60 s</t>
        </is>
      </c>
      <c r="Q30" s="2" t="inlineStr">
        <is>
          <t>You're stressed today, so the session runs on autopilot: a simple, predictable structure, familiar movements and controlled, rhythmic reps. For muscle, the volume lives in the accessory: 1 movement at moderate reps behind Barbell Row.</t>
        </is>
      </c>
      <c r="R30" s="2" t="inlineStr">
        <is>
          <t>Session: Upper Pull, variant traditional, 3 exercises, 9 working sets, est. 25.6 min for a 30-minute request; primary Barbell Row 3 × 5–7 RIR 2; 0 superset(s), device none, methods none, finisher none.
[stressed] Stressed realized ['structure', 'tempo', 'exercises']; variant traditional, pairs 0, device None, methods []; physical stimulus kept: False.
[goal] Goal build_muscle: ['1 accessory movement behind the main lift, 3 accessory sets in the 10–20 range'].
Coherence stressed: PASS
Within a rep of failure: Cable Curl.</t>
        </is>
      </c>
      <c r="S30" s="2" t="inlineStr">
        <is>
          <t>state = stressed (expression: controlled) → intended: reduce_cognitive_load → realized: controlled on Pull-Up; Traditional instead of Compound + Paired Accessories; Zottman Curl → Cable Curl
experience = intermediate → intended: match_programming_vocabulary_to_level → realized: intermediate pool: Barbell Row, Pull-Up
goal = build_muscle → intended: hypertrophy_volume_and_accessories → realized: 1 accessory movement behind the main lift, 3 accessory sets in the 10–20 range
duration = 30 → intended: fill_the_requested_time_with_useful_work → realized: 30-minute session: 3 exercises, 9 working sets, main work kept; estimated 25.6 min for a 30-minute request
equipment = commercial_gym → intended: availability_only → realized: nothing (no claim made)
history = first session → intended: rotate_shape_and_movements_keep_the_main_lift → realized: nothing (no claim made)</t>
        </is>
      </c>
      <c r="T30" s="2" t="inlineStr">
        <is>
          <t>stressed: attempt 0 expression 'controlled' realized ['tempo', 'structure', 'exercises'] no-ops ['state_rir_no_effect'] → satisfied</t>
        </is>
      </c>
      <c r="U30" s="2" t="inlineStr">
        <is>
          <t>30 minutes: 3 exercises and 9 working sets, with the main work kept.
Barbell Row (3 × 5–7) leads as the main lift, then 1 strength lift and 1 accessory.
9 working sets across 3 exercises, about 26 minutes.
Main work stops about 2 reps short of failure, accessories about 1 rep short of failure.
Intermediate difficulty: every movement is within the intermediate complexity and skill limits.</t>
        </is>
      </c>
      <c r="V30" s="2" t="n"/>
      <c r="W30" s="2" t="n"/>
    </row>
    <row r="31">
      <c r="A31" s="2" t="inlineStr">
        <is>
          <t>F. Stressed</t>
        </is>
      </c>
      <c r="B31" s="2" t="inlineStr">
        <is>
          <t>Lower Body: Squat, 60, advanced, build strength</t>
        </is>
      </c>
      <c r="C31" s="2" t="inlineStr">
        <is>
          <t>wes / 2026-10-30</t>
        </is>
      </c>
      <c r="D31" s="2" t="inlineStr">
        <is>
          <t>stressed</t>
        </is>
      </c>
      <c r="E31" s="2" t="inlineStr">
        <is>
          <t>advanced</t>
        </is>
      </c>
      <c r="F31" s="2" t="inlineStr">
        <is>
          <t>Build strength</t>
        </is>
      </c>
      <c r="G31" s="2" t="n">
        <v>60</v>
      </c>
      <c r="H31" s="2" t="inlineStr">
        <is>
          <t>Lower Body: Squat</t>
        </is>
      </c>
      <c r="I31" s="2" t="inlineStr">
        <is>
          <t>none</t>
        </is>
      </c>
      <c r="J31" s="2" t="inlineStr">
        <is>
          <t>first session</t>
        </is>
      </c>
      <c r="K31" s="2" t="inlineStr">
        <is>
          <t>Lower Body: Squat</t>
        </is>
      </c>
      <c r="L31" s="2" t="inlineStr">
        <is>
          <t>Efficient</t>
        </is>
      </c>
      <c r="M31" s="2" t="n">
        <v>48.3</v>
      </c>
      <c r="N31" s="2" t="n">
        <v>13</v>
      </c>
      <c r="O31" s="2" t="inlineStr">
        <is>
          <t>pause</t>
        </is>
      </c>
      <c r="P31" s="2" t="inlineStr">
        <is>
          <t>Barbell Back Squat: 5 × 4–6 · paused reps  RIR 1  (Pause 2 s at the hardest point of every rep, then drive out of it. Stop each set with about 1 rep left in the tank.)  rest 240 s
Bulgarian Split Squat: 4 × 8–10/side  RIR 2  rest 150 s
Leg Extension: 4 × 10–12  RIR 1  rest 45 s</t>
        </is>
      </c>
      <c r="Q31" s="2" t="inlineStr">
        <is>
          <t>You're stressed today, so the session runs on autopilot: a simple, predictable structure, familiar movements and one thing fewer to set up. It still works: Barbell Back Squat stays heavy. You're advanced, so we're keeping paused reps on Barbell Back Squat in the mix. Strength is the goal, so Barbell Back Squat gets the priority and full rest; everything else supports it.</t>
        </is>
      </c>
      <c r="R31" s="2" t="inlineStr">
        <is>
          <t>Session: Lower Body: Squat, variant efficient, 3 exercises, 13 working sets, est. 48.3 min for a 60-minute request; primary Barbell Back Squat 5 × 4–6 RIR 1; 0 superset(s), device none, methods ['paused reps on Barbell Back Squat'], finisher none.
[stressed] Stressed realized ['structure', 'slot_removed', 'exercises']; variant efficient, pairs 0, device None, methods [('paused reps', 'Barbell Back Squat')]; physical stimulus kept: True.
[level] Advanced: ['paused reps on Barbell Back Squat', 'Barbell Back Squat runs to RIR 1 (advanced band position)', 'higher-complexity movements kept in: Barbell Back Squat, Bulgarian Split Squat'].
[goal] Goal build_strength: ['Barbell Back Squat at 4–6 with full 240 s rest', 'paused reps on Barbell Back Squat'].
Coherence stressed: PASS
Within a rep of failure: Barbell Back Squat, Leg Extension.
Demanding compounds (systemic 4+): Barbell Back Squat, Bulgarian Split Squat.</t>
        </is>
      </c>
      <c r="S31" s="2" t="inlineStr">
        <is>
          <t>state = stressed (expression: simpler) → intended: reduce_cognitive_load → realized: left out Roman Chair / GHD Glute-Ham Raise; Efficient instead of Top Set + Back-off; Sissy Squat → Leg Extension
experience = advanced → intended: match_programming_vocabulary_to_level → realized: paused reps on Barbell Back Squat; Barbell Back Squat runs to RIR 1 (advanced band position); higher-complexity movements kept in: Barbell Back Squat, Bulgarian Split Squat
goal = build_strength → intended: primary_emphasis_heavier_longer_rest → realized: Barbell Back Squat at 4–6 with full 240 s rest; paused reps on Barbell Back Squat
duration = 60 → intended: fill_the_requested_time_with_useful_work → realized: filled toward the requested time: primary_set_added, rest_extended, set_added; estimated 48.3 min for a 60-minute request
equipment = commercial_gym → intended: availability_only → realized: nothing (no claim made)
history = first session → intended: rotate_shape_and_movements_keep_the_main_lift → realized: nothing (no claim made)</t>
        </is>
      </c>
      <c r="T31" s="2" t="inlineStr">
        <is>
          <t>stressed: attempt 0 expression 'simpler' realized ['slot_removed', 'structure', 'exercises'] no-ops [] → satisfied</t>
        </is>
      </c>
      <c r="U31" s="2" t="inlineStr">
        <is>
          <t>Barbell Back Squat (5 × 4–6 · paused reps) leads as the main lift, then 1 strength lift and 1 accessory.
13 working sets across 3 exercises, about 48 minutes.
Main work stops about 1 rep short of failure.
Advanced difficulty keeps the full exercise range open; today the best fits sit within it without needing the most complex options.
Your profile goal is to build strength; today's Strength session is built from today's choices.</t>
        </is>
      </c>
      <c r="V31" s="2" t="n"/>
      <c r="W31" s="2" t="n"/>
    </row>
    <row r="32">
      <c r="A32" s="2" t="inlineStr">
        <is>
          <t>G. Sore</t>
        </is>
      </c>
      <c r="B32" s="2" t="inlineStr">
        <is>
          <t>MOOD's Pick with sore legs, 60, intermediate</t>
        </is>
      </c>
      <c r="C32" s="2" t="inlineStr">
        <is>
          <t>wes / 2026-10-30</t>
        </is>
      </c>
      <c r="D32" s="2" t="inlineStr">
        <is>
          <t>none</t>
        </is>
      </c>
      <c r="E32" s="2" t="inlineStr">
        <is>
          <t>intermediate</t>
        </is>
      </c>
      <c r="F32" s="2" t="inlineStr">
        <is>
          <t>Build muscle</t>
        </is>
      </c>
      <c r="G32" s="2" t="n">
        <v>60</v>
      </c>
      <c r="H32" s="2" t="inlineStr">
        <is>
          <t>MOOD's Pick</t>
        </is>
      </c>
      <c r="I32" s="2" t="inlineStr">
        <is>
          <t>legs</t>
        </is>
      </c>
      <c r="J32" s="2" t="inlineStr">
        <is>
          <t>first session</t>
        </is>
      </c>
      <c r="K32" s="2" t="inlineStr">
        <is>
          <t>Upper Pull</t>
        </is>
      </c>
      <c r="L32" s="2" t="inlineStr">
        <is>
          <t>Volume</t>
        </is>
      </c>
      <c r="M32" s="2" t="n">
        <v>54.2</v>
      </c>
      <c r="N32" s="2" t="n">
        <v>19</v>
      </c>
      <c r="O32" s="2" t="inlineStr">
        <is>
          <t>rest_pause</t>
        </is>
      </c>
      <c r="P32" s="2" t="inlineStr">
        <is>
          <t>Chest-Supported Machine Row: 4 × 6–8  RIR 2  rest 150 s
Lat Pulldown: 4 × 10–12  RIR 2  rest 120 s
Inverted Row: 4 × 10–12  RIR 2  rest 120 s
SUPERSET A (2 rounds, rest 60 s after each round)
  A1 Dumbbell Pullover: 2 × 12–15 · rest-pause on the final set  RIR 1  (On the last set, hit the reps, rest 15 s, then add as many clean reps as you can. Stop each set with about 1 rep left in the tank.)
  A2 EZ-Bar Curl: 2 × 12–15  RIR 1
Bayesian Cable Curl: 3 × 12–15/side  RIR 1  rest 60 s</t>
        </is>
      </c>
      <c r="Q32" s="2" t="inlineStr">
        <is>
          <t>Your legs are sore, so we're moving the work away from them: today is an Upper Pull session that leaves them alone. As an intermediate lifter, rest-pause on the final set on Dumbbell Pullover is on the table. For muscle, the volume lives in the accessories: 3 movements at moderate reps behind Chest-Supported Machine Row.</t>
        </is>
      </c>
      <c r="R32" s="2" t="inlineStr">
        <is>
          <t>Session: Upper Pull, variant volume, 6 exercises, 19 working sets, est. 54.2 min for a 60-minute request; primary Chest-Supported Machine Row 4 × 6–8 RIR 2; 1 superset(s), device none, methods ['rest-pause on the final set on Dumbbell Pullover'], finisher none.
[sore] Soreness: ['no movement loads the sore calves, glutes, hamstrings, quads directly', 'no accessory uses it as a secondary mover either'].
[level] Intermediate: ['rest-pause on the final set on Dumbbell Pullover (intermediate and up)'].
[goal] Goal build_muscle: ['Volume shape (muscle goal weights it up)', '3 accessory movements behind the main lift, 7 accessory sets in the 10–20 range', 'rest-pause on the final set on Dumbbell Pullover'].
Within a rep of failure: Dumbbell Pullover, EZ-Bar Curl, Bayesian Cable Curl.</t>
        </is>
      </c>
      <c r="S32" s="2" t="inlineStr">
        <is>
          <t>soreness = ['calves', 'glutes', 'hamstrings', 'quads'] → intended: protect_sore_region → realized: no movement loads the sore calves, glutes, hamstrings, quads directly; no accessory uses it as a secondary mover either
experience = intermediate → intended: match_programming_vocabulary_to_level → realized: rest-pause on the final set on Dumbbell Pullover (intermediate and up)
goal = build_muscle → intended: hypertrophy_volume_and_accessories → realized: Volume shape (muscle goal weights it up); 3 accessory movements behind the main lift, 7 accessory sets in the 10–20 range; rest-pause on the final set on Dumbbell Pullover
duration = 60 → intended: fill_the_requested_time_with_useful_work → realized: trimmed to fit: accessory_rest_shortened, set_removed; estimated 54.2 min for a 60-minute request
equipment = commercial_gym → intended: availability_only → realized: nothing (no claim made)
history = first session → intended: rotate_shape_and_movements_keep_the_main_lift → realized: nothing (no claim made)</t>
        </is>
      </c>
      <c r="T32" s="2" t="inlineStr">
        <is>
          <t>no State</t>
        </is>
      </c>
      <c r="U32" s="2" t="inlineStr">
        <is>
          <t>Your legs are sore, so we're moving the work away from them: today is an Upper Pull session that leaves them alone. As an intermediate lifter, rest-pause on the final set on Dumbbell Pullover is on the table. For muscle, the volume lives in the accessories: 3 movements at moderate reps behind Chest-Supported Machine Row.
Chest-Supported Machine Row (4 × 6–8) leads as the main lift, then 2 strength lifts and 3 accessories, with part of it run as a superset.
19 working sets across 6 exercises, about 54 minutes.
Main work stops about 2 reps short of failure, accessories about 1 rep short of failure.
Intermediate difficulty: every movement is within the intermediate complexity and skill limits.
MOOD's Pick follows the rotation built for your goal to build muscle, at 3 to 4 days a week.</t>
        </is>
      </c>
      <c r="V32" s="2" t="n"/>
      <c r="W32" s="2" t="n"/>
    </row>
    <row r="33">
      <c r="A33" s="2" t="inlineStr">
        <is>
          <t>G. Sore</t>
        </is>
      </c>
      <c r="B33" s="2" t="inlineStr">
        <is>
          <t>Upper Push with sore shoulders, 60, intermediate</t>
        </is>
      </c>
      <c r="C33" s="2" t="inlineStr">
        <is>
          <t>wes / 2026-10-31</t>
        </is>
      </c>
      <c r="D33" s="2" t="inlineStr">
        <is>
          <t>none</t>
        </is>
      </c>
      <c r="E33" s="2" t="inlineStr">
        <is>
          <t>intermediate</t>
        </is>
      </c>
      <c r="F33" s="2" t="inlineStr">
        <is>
          <t>Build muscle</t>
        </is>
      </c>
      <c r="G33" s="2" t="n">
        <v>60</v>
      </c>
      <c r="H33" s="2" t="inlineStr">
        <is>
          <t>Upper Push</t>
        </is>
      </c>
      <c r="I33" s="2" t="inlineStr">
        <is>
          <t>shoulders</t>
        </is>
      </c>
      <c r="J33" s="2" t="inlineStr">
        <is>
          <t>first session</t>
        </is>
      </c>
      <c r="K33" s="2" t="inlineStr">
        <is>
          <t>Custom Target</t>
        </is>
      </c>
      <c r="L33" s="2" t="inlineStr">
        <is>
          <t>Traditional</t>
        </is>
      </c>
      <c r="M33" s="2" t="n">
        <v>50.7</v>
      </c>
      <c r="N33" s="2" t="n">
        <v>20</v>
      </c>
      <c r="O33" s="2" t="inlineStr">
        <is>
          <t>pause</t>
        </is>
      </c>
      <c r="P33" s="2" t="inlineStr">
        <is>
          <t>Dumbbell Bench Press: 4 × 8–10 · paused reps  RIR 2  (Pause 2 s at the hardest point of every rep, then drive out of it. Stop each set with about 2 reps left in the tank.)  rest 135 s
Plate-Loaded Incline Press: 4 × 8–10  RIR 2  rest 135 s
SUPERSET A (4 rounds, rest 60 s after each round)
  A1 EZ-Bar Skull Crusher: 4 × 10–12  RIR 1
  A2 Pec Deck: 4 × 10–12  RIR 1
Assisted Dip (Triceps Bias): 4 × 8–10  RIR 2  rest 135 s</t>
        </is>
      </c>
      <c r="Q33" s="2" t="inlineStr">
        <is>
          <t>Your shoulders are sore, so today's Upper Push keeps the chest and triceps work and leaves the shoulders work out. As an intermediate lifter, paused reps on Dumbbell Bench Press is on the table, and your muscle goal is why 2 accessory movements carry the session at moderate reps.</t>
        </is>
      </c>
      <c r="R33" s="2" t="inlineStr">
        <is>
          <t>Session: Custom Target, variant traditional, 5 exercises, 20 working sets, est. 50.7 min for a 60-minute request; primary none (no primary compound in this archetype); 1 superset(s), device none, methods ['paused reps on Dumbbell Bench Press'], finisher none.
[sore] Soreness: ['narrowed Upper Push to chest + triceps; shoulders work left out (sore)', 'no movement loads the sore front_delts, rear_delts, shoulders, side_delts directly', '3 movements still use it as a secondary mover (Dumbbell Bench Press, Plate-Loaded Incline Press, Assisted Dip (Triceps Bias)); everything else avoids it'].
[level] Intermediate: ['paused reps on Dumbbell Bench Press (intermediate and up)'].
[goal] Goal build_muscle: ['2 accessory movements, 8 accessory sets in the 10–20 range'].
Within a rep of failure: Pec Deck, EZ-Bar Skull Crusher.</t>
        </is>
      </c>
      <c r="S33" s="2" t="inlineStr">
        <is>
          <t>soreness = ['front_delts', 'rear_delts', 'shoulders', 'side_delts'] → intended: protect_sore_region → realized: narrowed Upper Push to chest + triceps; shoulders work left out (sore); no movement loads the sore front_delts, rear_delts, shoulders, side_delts directly; 3 movements still use it as a secondary mover (Dumbbell Bench Press, Plate-Loaded Incline Press, Assisted Dip (Triceps Bias)); everything else avoids it
experience = intermediate → intended: match_programming_vocabulary_to_level → realized: paused reps on Dumbbell Bench Press (intermediate and up)
goal = build_muscle → intended: hypertrophy_volume_and_accessories → realized: 2 accessory movements, 8 accessory sets in the 10–20 range
target = ['chest', 'triceps'] → intended: cover_every_target_muscle_directly → realized: chest: Dumbbell Bench Press, Plate-Loaded Incline Press, Pec Deck; triceps: Assisted Dip (Triceps Bias), EZ-Bar Skull Crusher
duration = 60 → intended: fill_the_requested_time_with_useful_work → realized: filled toward the requested time: rest_extended; estimated 50.7 min for a 60-minute request
equipment = commercial_gym → intended: availability_only → realized: nothing (no claim made)
history = first session → intended: rotate_shape_and_movements_keep_the_main_lift → realized: nothing (no claim made)</t>
        </is>
      </c>
      <c r="T33" s="2" t="inlineStr">
        <is>
          <t>no State</t>
        </is>
      </c>
      <c r="U33" s="2" t="inlineStr">
        <is>
          <t>Your shoulders are sore, so today's Upper Push keeps the chest and triceps work and leaves the shoulders work out. As an intermediate lifter, paused reps on Dumbbell Bench Press is on the table, and your muscle goal is why 2 accessory movements carry the session at moderate reps.
20 working sets across 5 exercises, about 51 minutes.
Main work stops about 2 reps short of failure.
Intermediate difficulty: every movement is within the intermediate complexity and skill limits.
Your profile goal is to build muscle; today's Strength session is built from today's choices.
This is your first MOOD workout, so it starts from your Training Profile.</t>
        </is>
      </c>
      <c r="V33" s="2" t="n"/>
      <c r="W33" s="2" t="n"/>
    </row>
    <row r="34">
      <c r="A34" s="2" t="inlineStr">
        <is>
          <t>G. Sore</t>
        </is>
      </c>
      <c r="B34" s="2" t="inlineStr">
        <is>
          <t>Target chest + triceps with sore shoulders, 60, intermediate</t>
        </is>
      </c>
      <c r="C34" s="2" t="inlineStr">
        <is>
          <t>wes / 2026-11-01</t>
        </is>
      </c>
      <c r="D34" s="2" t="inlineStr">
        <is>
          <t>none</t>
        </is>
      </c>
      <c r="E34" s="2" t="inlineStr">
        <is>
          <t>intermediate</t>
        </is>
      </c>
      <c r="F34" s="2" t="inlineStr">
        <is>
          <t>Build muscle</t>
        </is>
      </c>
      <c r="G34" s="2" t="n">
        <v>60</v>
      </c>
      <c r="H34" s="2" t="inlineStr">
        <is>
          <t>Custom Target: chest + triceps</t>
        </is>
      </c>
      <c r="I34" s="2" t="inlineStr">
        <is>
          <t>shoulders</t>
        </is>
      </c>
      <c r="J34" s="2" t="inlineStr">
        <is>
          <t>first session</t>
        </is>
      </c>
      <c r="K34" s="2" t="inlineStr">
        <is>
          <t>Custom Target</t>
        </is>
      </c>
      <c r="L34" s="2" t="inlineStr">
        <is>
          <t>Compound + Paired Accessories</t>
        </is>
      </c>
      <c r="M34" s="2" t="n">
        <v>51.9</v>
      </c>
      <c r="N34" s="2" t="n">
        <v>20</v>
      </c>
      <c r="O34" s="2" t="inlineStr">
        <is>
          <t>drop_set</t>
        </is>
      </c>
      <c r="P34" s="2" t="inlineStr">
        <is>
          <t>Dumbbell Bench Press: 4 × 8–10  RIR 2  rest 120 s
Smith Machine Incline Press: 4 × 8–10  RIR 2  rest 120 s
SUPERSET A (4 rounds, rest 60 s after each round)
  A1 Cable Fly: 4 × 12–15 · drop set on the final set  RIR 1  (On the last set, hit the reps, drop the load about 25% and go again to the same reps-in-reserve. Stop each set with about 1 rep left in the tank.)
  A2 Single-Arm Cable Triceps Extension: 4 × 12–15/side  RIR 1
Assisted Dip (Triceps Bias): 4 × 8–10  RIR 2  rest 120 s</t>
        </is>
      </c>
      <c r="Q34" s="2" t="inlineStr">
        <is>
          <t>Your shoulders are sore, so every movement keeps that area out of the heavy loading; 3 movements still touch it as a secondary mover. As an intermediate lifter, drop set on the final set on Cable Fly is on the table, and your muscle goal is why 2 accessory movements carry the session at moderate reps. Both chest and triceps get direct work, in that order.</t>
        </is>
      </c>
      <c r="R34" s="2" t="inlineStr">
        <is>
          <t>Session: Custom Target, variant paired, 5 exercises, 20 working sets, est. 51.9 min for a 60-minute request; primary none (no primary compound in this archetype); 1 superset(s), device none, methods ['drop set on the final set on Cable Fly'], finisher none.
[sore] Soreness: ['no movement loads the sore front_delts, rear_delts, shoulders, side_delts directly', '3 movements still use it as a secondary mover (Dumbbell Bench Press, Smith Machine Incline Press, Assisted Dip (Triceps Bias)); everything else avoids it'].
[level] Intermediate: ['drop set on the final set on Cable Fly (intermediate and up)'].
[goal] Goal build_muscle: ['Compound + Paired Accessories shape (muscle goal weights it up)', '2 accessory movements, 8 accessory sets in the 10–20 range', 'drop set on the final set on Cable Fly'].
[target] Target: ['chest: Dumbbell Bench Press, Smith Machine Incline Press, Cable Fly', 'triceps: Assisted Dip (Triceps Bias), Single-Arm Cable Triceps Extension'].
Within a rep of failure: Cable Fly, Single-Arm Cable Triceps Extension.</t>
        </is>
      </c>
      <c r="S34" s="2" t="inlineStr">
        <is>
          <t>soreness = ['front_delts', 'rear_delts', 'shoulders', 'side_delts'] → intended: protect_sore_region → realized: no movement loads the sore front_delts, rear_delts, shoulders, side_delts directly; 3 movements still use it as a secondary mover (Dumbbell Bench Press, Smith Machine Incline Press, Assisted Dip (Triceps Bias)); everything else avoids it
experience = intermediate → intended: match_programming_vocabulary_to_level → realized: drop set on the final set on Cable Fly (intermediate and up)
goal = build_muscle → intended: hypertrophy_volume_and_accessories → realized: Compound + Paired Accessories shape (muscle goal weights it up); 2 accessory movements, 8 accessory sets in the 10–20 range; drop set on the final set on Cable Fly
target = ['chest', 'triceps'] → intended: cover_every_target_muscle_directly → realized: chest: Dumbbell Bench Press, Smith Machine Incline Press, Cable Fly; triceps: Assisted Dip (Triceps Bias), Single-Arm Cable Triceps Extension
duration = 60 → intended: fill_the_requested_time_with_useful_work → realized: estimated 51.9 min for a 60-minute request
equipment = commercial_gym → intended: availability_only → realized: nothing (no claim made)
history = first session → intended: rotate_shape_and_movements_keep_the_main_lift → realized: nothing (no claim made)</t>
        </is>
      </c>
      <c r="T34" s="2" t="inlineStr">
        <is>
          <t>no State</t>
        </is>
      </c>
      <c r="U34" s="2" t="inlineStr">
        <is>
          <t>Your shoulders are sore, so every movement keeps that area out of the heavy loading; 3 movements still touch it as a secondary mover. As an intermediate lifter, drop set on the final set on Cable Fly is on the table, and your muscle goal is why 2 accessory movements carry the session at moderate reps. Both chest and triceps get direct work, in that order.
Chest gets 3 movements while Triceps gets 2.
20 working sets across 5 exercises, about 52 minutes.
Main work stops about 2 reps short of failure.
Intermediate difficulty: every movement is within the intermediate complexity and skill limits.
Your profile goal is to build muscle; today's Strength session is built from today's choices.</t>
        </is>
      </c>
      <c r="V34" s="2" t="n"/>
      <c r="W34" s="2" t="n"/>
    </row>
    <row r="35">
      <c r="A35" s="2" t="inlineStr">
        <is>
          <t>G. Sore</t>
        </is>
      </c>
      <c r="B35" s="2" t="inlineStr">
        <is>
          <t>Target back + biceps with sore lower back, 60, intermediate</t>
        </is>
      </c>
      <c r="C35" s="2" t="inlineStr">
        <is>
          <t>wes / 2026-11-02</t>
        </is>
      </c>
      <c r="D35" s="2" t="inlineStr">
        <is>
          <t>none</t>
        </is>
      </c>
      <c r="E35" s="2" t="inlineStr">
        <is>
          <t>intermediate</t>
        </is>
      </c>
      <c r="F35" s="2" t="inlineStr">
        <is>
          <t>Build muscle</t>
        </is>
      </c>
      <c r="G35" s="2" t="n">
        <v>60</v>
      </c>
      <c r="H35" s="2" t="inlineStr">
        <is>
          <t>Custom Target: back + biceps</t>
        </is>
      </c>
      <c r="I35" s="2" t="inlineStr">
        <is>
          <t>lower_back</t>
        </is>
      </c>
      <c r="J35" s="2" t="inlineStr">
        <is>
          <t>first session</t>
        </is>
      </c>
      <c r="K35" s="2" t="inlineStr">
        <is>
          <t>Upper Pull</t>
        </is>
      </c>
      <c r="L35" s="2" t="inlineStr">
        <is>
          <t>Compound + Paired Accessories</t>
        </is>
      </c>
      <c r="M35" s="2" t="n">
        <v>54.5</v>
      </c>
      <c r="N35" s="2" t="n">
        <v>19</v>
      </c>
      <c r="O35" s="2" t="inlineStr"/>
      <c r="P35" s="2" t="inlineStr">
        <is>
          <t>Chest-Supported Machine Row: 4 × 5–7  RIR 2  rest 180 s
Pull-Up: 4 × 8–10  RIR 2  rest 120 s
Single-Arm Cable Row: 4 × 8–10/side  RIR 2  rest 120 s
SUPERSET A (2 rounds, rest 60 s after each round)
  A1 Dumbbell Pullover: 2 × 12–15  RIR 1
  A2 EZ-Bar Curl: 2 × 12–15  RIR 1
Machine Preacher Curl: 3 × 12–15  RIR 1  rest 60 s</t>
        </is>
      </c>
      <c r="Q35" s="2" t="inlineStr">
        <is>
          <t>Your lower back is sore, so every movement keeps that area out of the heavy loading. For muscle, the volume lives in the accessories: 3 movements at moderate reps behind Chest-Supported Machine Row. Both back and biceps get direct work, in that order.</t>
        </is>
      </c>
      <c r="R35" s="2" t="inlineStr">
        <is>
          <t>Session: Upper Pull, variant paired, 6 exercises, 19 working sets, est. 54.5 min for a 60-minute request; primary Chest-Supported Machine Row 4 × 5–7 RIR 2; 1 superset(s), device none, methods none, finisher none.
[sore] Soreness: ['no movement loads the sore spinal_erectors directly', 'no accessory uses it as a secondary mover either'].
[goal] Goal build_muscle: ['Compound + Paired Accessories shape (muscle goal weights it up)', '3 accessory movements behind the main lift, 7 accessory sets in the 10–20 range'].
[target] Target: ['back: Chest-Supported Machine Row, Pull-Up, Single-Arm Cable Row, Dumbbell Pullover', 'biceps: EZ-Bar Curl, Machine Preacher Curl'].
Within a rep of failure: Dumbbell Pullover, EZ-Bar Curl, Machine Preacher Curl.</t>
        </is>
      </c>
      <c r="S35" s="2" t="inlineStr">
        <is>
          <t>soreness = ['spinal_erectors'] → intended: protect_sore_region → realized: no movement loads the sore spinal_erectors directly; no accessory uses it as a secondary mover either
experience = intermediate → intended: match_programming_vocabulary_to_level → realized: intermediate pool: Pull-Up
goal = build_muscle → intended: hypertrophy_volume_and_accessories → realized: Compound + Paired Accessories shape (muscle goal weights it up); 3 accessory movements behind the main lift, 7 accessory sets in the 10–20 range
target = ['back', 'biceps'] → intended: cover_every_target_muscle_directly → realized: back: Chest-Supported Machine Row, Pull-Up, Single-Arm Cable Row, Dumbbell Pullover; biceps: EZ-Bar Curl, Machine Preacher Curl
duration = 60 → intended: fill_the_requested_time_with_useful_work → realized: trimmed to fit: set_removed; estimated 54.5 min for a 60-minute request
equipment = commercial_gym → intended: availability_only → realized: nothing (no claim made)
history = first session → intended: rotate_shape_and_movements_keep_the_main_lift → realized: nothing (no claim made)</t>
        </is>
      </c>
      <c r="T35" s="2" t="inlineStr">
        <is>
          <t>no State</t>
        </is>
      </c>
      <c r="U35" s="2" t="inlineStr">
        <is>
          <t>Your lower back is sore, so every movement keeps that area out of the heavy loading. For muscle, the volume lives in the accessories: 3 movements at moderate reps behind Chest-Supported Machine Row. Both back and biceps get direct work, in that order.
Back + Biceps run as an Upper Pull session, so both get direct work.
Chest-Supported Machine Row (4 × 5–7) leads as the main lift, then 2 strength lifts and 3 accessories, with part of it run as a superset.
19 working sets across 6 exercises, about 54 minutes.
Main work stops about 2 reps short of failure, accessories about 1 rep short of failure.
Intermediate difficulty: every movement is within the intermediate complexity and skill limits.</t>
        </is>
      </c>
      <c r="V35" s="2" t="n"/>
      <c r="W35" s="2" t="n"/>
    </row>
    <row r="36">
      <c r="A36" s="2" t="inlineStr">
        <is>
          <t>G. Sore</t>
        </is>
      </c>
      <c r="B36" s="2" t="inlineStr">
        <is>
          <t>Amped with sore chest, Upper Push, 60</t>
        </is>
      </c>
      <c r="C36" s="2" t="inlineStr">
        <is>
          <t>wes / 2026-11-03</t>
        </is>
      </c>
      <c r="D36" s="2" t="inlineStr">
        <is>
          <t>amped</t>
        </is>
      </c>
      <c r="E36" s="2" t="inlineStr">
        <is>
          <t>intermediate</t>
        </is>
      </c>
      <c r="F36" s="2" t="inlineStr">
        <is>
          <t>Build muscle</t>
        </is>
      </c>
      <c r="G36" s="2" t="n">
        <v>60</v>
      </c>
      <c r="H36" s="2" t="inlineStr">
        <is>
          <t>Upper Push</t>
        </is>
      </c>
      <c r="I36" s="2" t="inlineStr">
        <is>
          <t>chest</t>
        </is>
      </c>
      <c r="J36" s="2" t="inlineStr">
        <is>
          <t>first session</t>
        </is>
      </c>
      <c r="K36" s="2" t="inlineStr">
        <is>
          <t>Custom Target</t>
        </is>
      </c>
      <c r="L36" s="2" t="inlineStr">
        <is>
          <t>Volume</t>
        </is>
      </c>
      <c r="M36" s="2" t="n">
        <v>50</v>
      </c>
      <c r="N36" s="2" t="n">
        <v>20</v>
      </c>
      <c r="O36" s="2" t="inlineStr">
        <is>
          <t>rest_pause</t>
        </is>
      </c>
      <c r="P36" s="2" t="inlineStr">
        <is>
          <t>Push Press: 4 × 10–12  RIR 2  rest 120 s
Face Pull: 4 × 15–20 · rest-pause on the final set  RIR 1  (On the last set, hit the reps, rest 15 s, then add as many clean reps as you can. Stop each set with about 1 rep left in the tank.)  rest 60 s
Dumbbell Lateral Raise: 4 × 15–20  RIR 1  rest 60 s
Close-Grip Bench Press: 4 × 10–12  RIR 2  rest 120 s
LADDER Machine Triceps Extension: 4 sets: 15/12/9/7  RIR 1  rest 30 s</t>
        </is>
      </c>
      <c r="Q36" s="2" t="inlineStr">
        <is>
          <t>Your chest is sore, so today's Upper Push keeps the shoulders and triceps work and leaves the chest work out. You're amped today, so we're using rest-pause on the final set on Face Pull. As an intermediate lifter, rest-pause on the final set on Face Pull is on the table, and your muscle goal is why 3 accessory movements carry the session at moderate reps.</t>
        </is>
      </c>
      <c r="R36" s="2" t="inlineStr">
        <is>
          <t>Session: Custom Target, variant volume, 5 exercises, 20 working sets, est. 50.0 min for a 60-minute request; primary none (no primary compound in this archetype); 0 superset(s), device ladder, methods ['rest-pause on the final set on Face Pull'], finisher none.
[sore] Soreness: ['narrowed Upper Push to shoulders + triceps; chest work left out (sore)', 'no movement loads the sore chest directly', '1 movement still use it as a secondary mover (Close-Grip Bench Press); everything else avoids it'].
[amped] Amped realized ['set_method']; near failure ['Face Pull', 'Dumbbell Lateral Raise', 'Machine Triceps Extension']; total sets 20.
[level] Intermediate: ['rest-pause on the final set on Face Pull (intermediate and up)', 'intermediate pool: Push Press, Close-Grip Bench Press'].
[goal] Goal build_muscle: ['Volume shape (muscle goal weights it up)', '3 accessory movements, 12 accessory sets in the 10–20 range', 'rest-pause on the final set on Face Pull'].
Coherence amped: PASS
Within a rep of failure: Face Pull, Dumbbell Lateral Raise, Machine Triceps Extension.
Demanding compounds (systemic 4+): Push Press.</t>
        </is>
      </c>
      <c r="S36" s="2" t="inlineStr">
        <is>
          <t>state = amped (expression: extra_set_paired) → intended: use_readiness_productively → realized: rest-pause on the final set on Face Pull
soreness = ['chest'] → intended: protect_sore_region → realized: narrowed Upper Push to shoulders + triceps; chest work left out (sore); no movement loads the sore chest directly; 1 movement still use it as a secondary mover (Close-Grip Bench Press); everything else avoids it
experience = intermediate → intended: match_programming_vocabulary_to_level → realized: rest-pause on the final set on Face Pull (intermediate and up); intermediate pool: Push Press, Close-Grip Bench Press
goal = build_muscle → intended: hypertrophy_volume_and_accessories → realized: Volume shape (muscle goal weights it up); 3 accessory movements, 12 accessory sets in the 10–20 range; rest-pause on the final set on Face Pull
target = ['shoulders', 'triceps'] → intended: cover_every_target_muscle_directly → realized: shoulders: Push Press, Face Pull, Dumbbell Lateral Raise; triceps: Close-Grip Bench Press, Machine Triceps Extension
duration = 60 → intended: fill_the_requested_time_with_useful_work → realized: estimated 50.0 min for a 60-minute request
equipment = commercial_gym → intended: availability_only → realized: nothing (no claim made)
history = first session → intended: rotate_shape_and_movements_keep_the_main_lift → realized: nothing (no claim made)</t>
        </is>
      </c>
      <c r="T36" s="2" t="inlineStr">
        <is>
          <t>amped: attempt 0 expression 'extra_set_paired' realized ['set_method'] no-ops ['state_volume_no_effect'] → satisfied</t>
        </is>
      </c>
      <c r="U36" s="2" t="inlineStr">
        <is>
          <t>20 working sets across 5 exercises, about 50 minutes.
Main work stops about 2 reps short of failure.
Intermediate difficulty: every movement is within the intermediate complexity and skill limits.
Your profile goal is to build muscle; today's Strength session is built from today's choices.
This is your first MOOD workout, so it starts from your Training Profile.</t>
        </is>
      </c>
      <c r="V36" s="2" t="n"/>
      <c r="W36" s="2" t="n"/>
    </row>
    <row r="37">
      <c r="A37" s="2" t="inlineStr">
        <is>
          <t>H. Multi-State</t>
        </is>
      </c>
      <c r="B37" s="2" t="inlineStr">
        <is>
          <t>Amped + Stressed, Upper Push, 60</t>
        </is>
      </c>
      <c r="C37" s="2" t="inlineStr">
        <is>
          <t>wes / 2026-10-14</t>
        </is>
      </c>
      <c r="D37" s="2" t="inlineStr">
        <is>
          <t>amped, stressed</t>
        </is>
      </c>
      <c r="E37" s="2" t="inlineStr">
        <is>
          <t>intermediate</t>
        </is>
      </c>
      <c r="F37" s="2" t="inlineStr">
        <is>
          <t>Build muscle</t>
        </is>
      </c>
      <c r="G37" s="2" t="n">
        <v>60</v>
      </c>
      <c r="H37" s="2" t="inlineStr">
        <is>
          <t>Upper Push</t>
        </is>
      </c>
      <c r="I37" s="2" t="inlineStr">
        <is>
          <t>none</t>
        </is>
      </c>
      <c r="J37" s="2" t="inlineStr">
        <is>
          <t>first session</t>
        </is>
      </c>
      <c r="K37" s="2" t="inlineStr">
        <is>
          <t>Upper Push</t>
        </is>
      </c>
      <c r="L37" s="2" t="inlineStr">
        <is>
          <t>Compound + Paired Accessories</t>
        </is>
      </c>
      <c r="M37" s="2" t="n">
        <v>53.6</v>
      </c>
      <c r="N37" s="2" t="n">
        <v>20</v>
      </c>
      <c r="O37" s="2" t="inlineStr"/>
      <c r="P37" s="2" t="inlineStr">
        <is>
          <t>Barbell Bench Press: 5 × 5–7  RIR 2  rest 180 s
Parallel Bar Dip: 4 × 8–10  RIR 2  rest 120 s
Plate-Loaded Incline Press: 3 × 10–12  RIR 2  rest 120 s
SUPERSET A (4 rounds, rest 60 s after each round)
  A1 Dumbbell Fly: 4 × 12–15  RIR 1
  A2 Machine Triceps Extension: 4 × 12–15  RIR 1</t>
        </is>
      </c>
      <c r="Q37" s="2" t="inlineStr">
        <is>
          <t>You're amped but stressed, so instead of making the workout busier we're putting that extra energy into harder work on Barbell Bench Press while keeping the structure predictable and the rest unhurried. For muscle, the volume lives in the accessories: 2 movements at moderate reps behind Barbell Bench Press.</t>
        </is>
      </c>
      <c r="R37" s="2" t="inlineStr">
        <is>
          <t>Session: Upper Push, variant paired, 5 exercises, 20 working sets, est. 53.6 min for a 60-minute request; primary Barbell Bench Press 5 × 5–7 RIR 2; 1 superset(s), device none, methods none, finisher none.
[amped_stressed] Amped + Stressed resolved as effort up, complexity down: Amped realized ['volume'], Stressed realized ['exercises', 'slot_removed']; 1 superset(s), variant paired, primary RIR 2.
[goal] Goal build_muscle: ['Compound + Paired Accessories shape (muscle goal weights it up)', '2 accessory movements behind the main lift, 8 accessory sets in the 10–20 range'].
Coherence amped: PASS
Coherence stressed: PASS
Compound redundancy trimmed (family limit 1): machine_incline_press 4 × 8–10 → 3 × 10–12
Within a rep of failure: Dumbbell Fly, Machine Triceps Extension.</t>
        </is>
      </c>
      <c r="S37" s="2" t="inlineStr">
        <is>
          <t>state = amped (expression: extra_set_paired) → intended: use_readiness_productively → realized: Barbell Bench Press 4→5 sets
state = stressed (expression: simpler) → intended: reduce_cognitive_load → realized: left out Overhead Cable Triceps Extension; Smith Machine Incline Press → Plate-Loaded Incline Press; Cable Triceps Pressdown → Machine Triceps Extension
experience = intermediate → intended: match_programming_vocabulary_to_level → realized: intermediate pool: Barbell Bench Press, Parallel Bar Dip
goal = build_muscle → intended: hypertrophy_volume_and_accessories → realized: Compound + Paired Accessories shape (muscle goal weights it up); 2 accessory movements behind the main lift, 8 accessory sets in the 10–20 range
duration = 60 → intended: fill_the_requested_time_with_useful_work → realized: estimated 53.6 min for a 60-minute request
equipment = commercial_gym → intended: availability_only → realized: nothing (no claim made)
history = first session → intended: rotate_shape_and_movements_keep_the_main_lift → realized: nothing (no claim made)</t>
        </is>
      </c>
      <c r="T37" s="2" t="inlineStr">
        <is>
          <t>amped: attempt 0 expression 'extra_set_paired' realized ['volume'] no-ops [] → satisfied
stressed: attempt 0 expression 'simpler' realized ['slot_removed', 'exercises'] no-ops [] → satisfied</t>
        </is>
      </c>
      <c r="U37" s="2" t="inlineStr">
        <is>
          <t>Barbell Bench Press (5 × 5–7) leads as the main lift, then 2 strength lifts and 2 accessories, with part of it run as a superset.
20 working sets across 5 exercises, about 54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37" s="2" t="n"/>
      <c r="W37" s="2" t="n"/>
    </row>
    <row r="38">
      <c r="A38" s="2" t="inlineStr">
        <is>
          <t>H. Multi-State</t>
        </is>
      </c>
      <c r="B38" s="2" t="inlineStr">
        <is>
          <t>Low Energy + Amped, Lower Body: Squat, 60</t>
        </is>
      </c>
      <c r="C38" s="2" t="inlineStr">
        <is>
          <t>wes / 2026-11-01</t>
        </is>
      </c>
      <c r="D38" s="2" t="inlineStr">
        <is>
          <t>low_energy, amped</t>
        </is>
      </c>
      <c r="E38" s="2" t="inlineStr">
        <is>
          <t>intermediate</t>
        </is>
      </c>
      <c r="F38" s="2" t="inlineStr">
        <is>
          <t>Build muscle</t>
        </is>
      </c>
      <c r="G38" s="2" t="n">
        <v>60</v>
      </c>
      <c r="H38" s="2" t="inlineStr">
        <is>
          <t>Lower Body: Squat</t>
        </is>
      </c>
      <c r="I38" s="2" t="inlineStr">
        <is>
          <t>none</t>
        </is>
      </c>
      <c r="J38" s="2" t="inlineStr">
        <is>
          <t>first session</t>
        </is>
      </c>
      <c r="K38" s="2" t="inlineStr">
        <is>
          <t>Lower Body: Squat</t>
        </is>
      </c>
      <c r="L38" s="2" t="inlineStr">
        <is>
          <t>Heavy Primary</t>
        </is>
      </c>
      <c r="M38" s="2" t="n">
        <v>51.1</v>
      </c>
      <c r="N38" s="2" t="n">
        <v>17</v>
      </c>
      <c r="O38" s="2" t="inlineStr"/>
      <c r="P38" s="2" t="inlineStr">
        <is>
          <t>Barbell Back Squat: 5 × 4–6  RIR 1  rest 225 s
Leg Press: 4 × 8–10  RIR 2  rest 135 s
Leg Extension: 4 × 10–12  RIR 2  rest 60 s
Lying Leg Curl: 4 × 10–12  RIR 2  rest 60 s</t>
        </is>
      </c>
      <c r="Q38" s="2" t="inlineStr">
        <is>
          <t>You're amped but running on less energy than usual, so energy sets the budget and the readiness goes into one place: Barbell Back Squat. Everything around it stays further from failure. Your muscle goal is why 2 accessory movements sit behind the main lifts at moderate reps.</t>
        </is>
      </c>
      <c r="R38" s="2" t="inlineStr">
        <is>
          <t>Session: Lower Body: Squat, variant heavy_primary, 4 exercises, 17 working sets, est. 51.1 min for a 60-minute request; primary Barbell Back Squat 5 × 4–6 RIR 1; 0 superset(s), device none, methods none, finisher none.
[amped_low_energy] Low Energy owns systemic cost (realized ['rir', 'complexity_or_systemic_cap']); Amped kept only on the primary (Barbell Back Squat RIR 2→1).
[goal] Goal build_muscle: ['2 accessory movements behind the main lift, 8 accessory sets in the 10–20 range'].
Coherence low_energy: PASS
Coherence amped: PASS
Within a rep of failure: Barbell Back Squat.
Demanding compounds (systemic 4+): Barbell Back Squat.</t>
        </is>
      </c>
      <c r="S38" s="2" t="inlineStr">
        <is>
          <t>state = low_energy (expression: cost_down) → intended: reduce_training_cost → realized: Leg Extension RIR 1→2; Lying Leg Curl RIR 1→2; Sissy Squat out (complexity / systemic cost); Roman Chair / GHD Glute-Ham Raise out (complexity / systemic cost)
state = amped (expression: top_set) → intended: use_readiness_productively → realized: Barbell Back Squat RIR 2→1
experience = intermediate → intended: match_programming_vocabulary_to_level → realized: intermediate pool: Barbell Back Squat
goal = build_muscle → intended: hypertrophy_volume_and_accessories → realized: 2 accessory movements behind the main lift, 8 accessory sets in the 10–20 range
duration = 60 → intended: fill_the_requested_time_with_useful_work → realized: filled toward the requested time: set_added; estimated 51.1 min for a 60-minute request
equipment = commercial_gym → intended: availability_only → realized: nothing (no claim made)
history = first session → intended: rotate_shape_and_movements_keep_the_main_lift → realized: nothing (no claim made)</t>
        </is>
      </c>
      <c r="T38" s="2" t="inlineStr">
        <is>
          <t>low_energy: attempt 0 expression 'cost_down' realized ['rir', 'complexity_or_systemic_cap'] no-ops [] → satisfied
amped: attempt 0 expression 'extra_set_paired' realized [] no-ops [] → NOT satisfied
amped: fallback extra_set_paired → top_set
low_energy: attempt 1 expression 'cost_down' realized ['rir', 'complexity_or_systemic_cap'] no-ops [] → satisfied
amped: attempt 1 expression 'top_set' realized ['rir'] no-ops [] → satisfied</t>
        </is>
      </c>
      <c r="U38" s="2" t="inlineStr">
        <is>
          <t>Barbell Back Squat (5 × 4–6) leads as the main lift, then 1 strength lift and 2 accessories.
17 working sets across 4 exercises, about 51 minutes.
Main work stops about 1 rep short of failure, accessories about 2 reps short of failure.
Intermediate difficulty: every movement is within the intermediate complexity and skill limits.
Your profile goal is to build muscle; today's Strength session is built from today's choices.</t>
        </is>
      </c>
      <c r="V38" s="2" t="n"/>
      <c r="W38" s="2" t="n"/>
    </row>
    <row r="39">
      <c r="A39" s="2" t="inlineStr">
        <is>
          <t>H. Multi-State</t>
        </is>
      </c>
      <c r="B39" s="2" t="inlineStr">
        <is>
          <t>Bored + Stressed, Upper Pull, 60</t>
        </is>
      </c>
      <c r="C39" s="2" t="inlineStr">
        <is>
          <t>wes / 2026-11-02</t>
        </is>
      </c>
      <c r="D39" s="2" t="inlineStr">
        <is>
          <t>bored, stressed</t>
        </is>
      </c>
      <c r="E39" s="2" t="inlineStr">
        <is>
          <t>intermediate</t>
        </is>
      </c>
      <c r="F39" s="2" t="inlineStr">
        <is>
          <t>Build muscle</t>
        </is>
      </c>
      <c r="G39" s="2" t="n">
        <v>60</v>
      </c>
      <c r="H39" s="2" t="inlineStr">
        <is>
          <t>Upper Pull</t>
        </is>
      </c>
      <c r="I39" s="2" t="inlineStr">
        <is>
          <t>none</t>
        </is>
      </c>
      <c r="J39" s="2" t="inlineStr">
        <is>
          <t>first session</t>
        </is>
      </c>
      <c r="K39" s="2" t="inlineStr">
        <is>
          <t>Upper Pull</t>
        </is>
      </c>
      <c r="L39" s="2" t="inlineStr">
        <is>
          <t>Compound + Paired Accessories</t>
        </is>
      </c>
      <c r="M39" s="2" t="n">
        <v>49.3</v>
      </c>
      <c r="N39" s="2" t="n">
        <v>16</v>
      </c>
      <c r="O39" s="2" t="inlineStr"/>
      <c r="P39" s="2" t="inlineStr">
        <is>
          <t>Chest-Supported Machine Row: 4 × 5–7  RIR 2  rest 180 s
Pull-Up: 4 × 8–10  RIR 2  (Controlled tempo: 3 s lowering, smooth drive, no bounce. Stop each set with about 2 reps left in the tank.)  rest 120 s
Single-Arm Lat Pulldown: 4 × 8–10/side  RIR 2  (Controlled tempo: 3 s lowering, smooth drive, no bounce. Stop each set with about 2 reps left in the tank.)  rest 120 s
SUPERSET A (2 rounds, rest 60 s after each round)
  A1 Dumbbell Pullover: 2 × 12–15  RIR 1
  A2 EZ-Bar Curl: 2 × 12–15  RIR 1</t>
        </is>
      </c>
      <c r="Q39" s="2" t="inlineStr">
        <is>
          <t>You're bored and stressed, so the novelty is in the movements (1 less-familiar one) while the structure stays plain and predictable. For muscle, the volume lives in the accessories: 2 movements at moderate reps behind Chest-Supported Machine Row.</t>
        </is>
      </c>
      <c r="R39" s="2" t="inlineStr">
        <is>
          <t>Session: Upper Pull, variant paired, 5 exercises, 16 working sets, est. 49.3 min for a 60-minute request; primary Chest-Supported Machine Row 4 × 5–7 RIR 2; 1 superset(s), device none, methods none, finisher none.
[bored_stressed] Bored owns exercise novelty (1 new vs no-State build); Stressed owns structure (variant paired, 1 pairs).
[goal] Goal build_muscle: ['Compound + Paired Accessories shape (muscle goal weights it up)', '2 accessory movements behind the main lift, 4 accessory sets in the 10–20 range'].
Coherence bored: PASS
Coherence stressed: PASS; before repairs: ['6 station changes']
Coherence repairs: stressed: remove_optional_accessory (Machine Preacher Curl left out)
Within a rep of failure: Dumbbell Pullover, EZ-Bar Curl.</t>
        </is>
      </c>
      <c r="S39" s="2" t="inlineStr">
        <is>
          <t>state = bored (expression: fresh_finish) → intended: refresh_the_experience → realized: Single-Arm Cable Row → Single-Arm Lat Pulldown
state = stressed (expression: controlled) → intended: reduce_cognitive_load → realized: controlled on Pull-Up, Single-Arm Lat Pulldown; Single-Arm Cable Row → Single-Arm Lat Pulldown
experience = intermediate → intended: match_programming_vocabulary_to_level → realized: intermediate pool: Pull-Up
goal = build_muscle → intended: hypertrophy_volume_and_accessories → realized: Compound + Paired Accessories shape (muscle goal weights it up); 2 accessory movements behind the main lift, 4 accessory sets in the 10–20 range
duration = 60 → intended: fill_the_requested_time_with_useful_work → realized: trimmed to fit: set_removed; estimated 49.3 min for a 60-minute request
equipment = commercial_gym → intended: availability_only → realized: nothing (no claim made)
history = first session → intended: rotate_shape_and_movements_keep_the_main_lift → realized: nothing (no claim made)</t>
        </is>
      </c>
      <c r="T39" s="2" t="inlineStr">
        <is>
          <t>bored: attempt 0 expression 'fresh_finish' realized ['exercises'] no-ops [] → satisfied
stressed: attempt 0 expression 'controlled' realized ['tempo', 'exercises'] no-ops ['state_rir_no_effect'] → satisfied</t>
        </is>
      </c>
      <c r="U39" s="2" t="inlineStr">
        <is>
          <t>Chest-Supported Machine Row (4 × 5–7) leads as the main lift, then 2 strength lifts and 2 accessories, with part of it run as a superset.
16 working sets across 5 exercises, about 49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39" s="2" t="n"/>
      <c r="W39" s="2" t="n"/>
    </row>
    <row r="40">
      <c r="A40" s="2" t="inlineStr">
        <is>
          <t>H. Multi-State</t>
        </is>
      </c>
      <c r="B40" s="2" t="inlineStr">
        <is>
          <t>Irritated + Low Energy, Glutes + Legs, 30</t>
        </is>
      </c>
      <c r="C40" s="2" t="inlineStr">
        <is>
          <t>wes / 2026-11-03</t>
        </is>
      </c>
      <c r="D40" s="2" t="inlineStr">
        <is>
          <t>irritated, low_energy</t>
        </is>
      </c>
      <c r="E40" s="2" t="inlineStr">
        <is>
          <t>intermediate</t>
        </is>
      </c>
      <c r="F40" s="2" t="inlineStr">
        <is>
          <t>Build muscle</t>
        </is>
      </c>
      <c r="G40" s="2" t="n">
        <v>30</v>
      </c>
      <c r="H40" s="2" t="inlineStr">
        <is>
          <t>Glutes + Legs</t>
        </is>
      </c>
      <c r="I40" s="2" t="inlineStr">
        <is>
          <t>none</t>
        </is>
      </c>
      <c r="J40" s="2" t="inlineStr">
        <is>
          <t>first session</t>
        </is>
      </c>
      <c r="K40" s="2" t="inlineStr">
        <is>
          <t>Glutes + Legs</t>
        </is>
      </c>
      <c r="L40" s="2" t="inlineStr">
        <is>
          <t>Efficient</t>
        </is>
      </c>
      <c r="M40" s="2" t="n">
        <v>27.6</v>
      </c>
      <c r="N40" s="2" t="n">
        <v>9</v>
      </c>
      <c r="O40" s="2" t="inlineStr"/>
      <c r="P40" s="2" t="inlineStr">
        <is>
          <t>Barbell Hip Thrust: 3 × 5–7  RIR 3  (Move the bar with intent: controlled down, drive up as fast as it will go. Stop each set with about 3 reps left in the tank.)  rest 150 s
Trap-Bar Deadlift: 3 × 10–12  RIR 3  (Stop each set with about 3 reps left in the tank.)  rest 105 s
Machine Glute Kickback: 3 × 12–15/side  RIR 1  rest 45 s</t>
        </is>
      </c>
      <c r="Q40" s="2" t="inlineStr">
        <is>
          <t>You're irritated but low on energy, so we're giving you one direct, physical effort (Barbell Hip Thrust) and keeping the cost of everything else down. Your muscle goal is why 1 accessory movement sits behind the main lifts at moderate reps.</t>
        </is>
      </c>
      <c r="R40" s="2" t="inlineStr">
        <is>
          <t>Session: Glutes + Legs, variant efficient, 3 exercises, 9 working sets, est. 27.6 min for a 30-minute request; primary Barbell Hip Thrust 3 × 5–7 RIR 3; 0 superset(s), device none, methods none, finisher none.
[irritated_low_energy] Irritated realized ['rest', 'tempo']; Low Energy realized ['rir', 'reps'].
[goal] Goal build_muscle: ['1 accessory movement behind the main lift, 3 accessory sets in the 10–20 range'].
Coherence irritated: PASS
Coherence low_energy: PASS
Within a rep of failure: Machine Glute Kickback.
Demanding compounds (systemic 4+): Trap-Bar Deadlift.</t>
        </is>
      </c>
      <c r="S40" s="2" t="inlineStr">
        <is>
          <t>state = irritated (expression: heavy_primary) → intended: direct_physical_cathartic_work → realized: Barbell Hip Thrust rest 120→150 s; Trap-Bar Deadlift rest 90→105 s; explosive intent on Barbell Hip Thrust
state = low_energy (expression: moderate_load) → intended: reduce_training_cost → realized: Barbell Hip Thrust 4–6→5–7; Barbell Hip Thrust RIR 2→3; Trap-Bar Deadlift RIR 2→3
experience = intermediate → intended: match_programming_vocabulary_to_level → realized: intermediate pool: Trap-Bar Deadlift
goal = build_muscle → intended: hypertrophy_volume_and_accessories → realized: 1 accessory movement behind the main lift, 3 accessory sets in the 10–20 range
duration = 30 → intended: fill_the_requested_time_with_useful_work → realized: 30-minute session: 3 exercises, 9 working sets, main work kept; estimated 27.6 min for a 30-minute request
equipment = commercial_gym → intended: availability_only → realized: nothing (no claim made)
history = first session → intended: rotate_shape_and_movements_keep_the_main_lift → realized: nothing (no claim made)</t>
        </is>
      </c>
      <c r="T40" s="2" t="inlineStr">
        <is>
          <t>irritated: attempt 0 expression 'direct_simple' realized [] no-ops ['state_reps_no_effect'] → NOT satisfied
low_energy: attempt 0 expression 'moderate_load' realized ['rir'] no-ops ['state_reps_no_effect'] → satisfied
irritated: fallback direct_simple → heavy_primary
irritated: attempt 1 expression 'heavy_primary' realized ['rest', 'tempo'] no-ops [] → satisfied
low_energy: attempt 1 expression 'moderate_load' realized ['reps', 'rir'] no-ops [] → satisfied</t>
        </is>
      </c>
      <c r="U40" s="2" t="inlineStr">
        <is>
          <t>30 minutes: 3 exercises and 9 working sets, with the main work kept.
Barbell Hip Thrust (3 × 5–7) leads as the main lift, then 1 strength lift and 1 accessory.
9 working sets across 3 exercises, about 28 minutes.
Main work stops about 3 reps short of failure, accessories about 1 rep short of failure.
Intermediate difficulty: every movement is within the intermediate complexity and skill limits.</t>
        </is>
      </c>
      <c r="V40" s="2" t="n"/>
      <c r="W40" s="2" t="n"/>
    </row>
    <row r="41">
      <c r="A41" s="2" t="inlineStr">
        <is>
          <t>H. Multi-State</t>
        </is>
      </c>
      <c r="B41" s="2" t="inlineStr">
        <is>
          <t>Bored + Low Energy, Upper Push, 60, advanced</t>
        </is>
      </c>
      <c r="C41" s="2" t="inlineStr">
        <is>
          <t>wes / 2026-11-04</t>
        </is>
      </c>
      <c r="D41" s="2" t="inlineStr">
        <is>
          <t>bored, low_energy</t>
        </is>
      </c>
      <c r="E41" s="2" t="inlineStr">
        <is>
          <t>advanced</t>
        </is>
      </c>
      <c r="F41" s="2" t="inlineStr">
        <is>
          <t>Build muscle</t>
        </is>
      </c>
      <c r="G41" s="2" t="n">
        <v>60</v>
      </c>
      <c r="H41" s="2" t="inlineStr">
        <is>
          <t>Upper Push</t>
        </is>
      </c>
      <c r="I41" s="2" t="inlineStr">
        <is>
          <t>none</t>
        </is>
      </c>
      <c r="J41" s="2" t="inlineStr">
        <is>
          <t>first session</t>
        </is>
      </c>
      <c r="K41" s="2" t="inlineStr">
        <is>
          <t>Upper Push</t>
        </is>
      </c>
      <c r="L41" s="2" t="inlineStr">
        <is>
          <t>Compound + Paired Accessories</t>
        </is>
      </c>
      <c r="M41" s="2" t="n">
        <v>58.5</v>
      </c>
      <c r="N41" s="2" t="n">
        <v>20</v>
      </c>
      <c r="O41" s="2" t="inlineStr">
        <is>
          <t>pause, slow_eccentric</t>
        </is>
      </c>
      <c r="P41" s="2" t="inlineStr">
        <is>
          <t>Dumbbell Bench Press: 4 × 5–7 · paused reps  RIR 1  (Pause 2 s at the hardest point of every rep, then drive out of it. Stop each set with about 1 rep left in the tank.)  rest 180 s
Parallel Bar Dip: 4 × 8–10 · 3 s eccentric  RIR 2  (Take 3 s to lower every rep, then lift at normal speed. Stop each set with about 2 reps left in the tank.)  rest 120 s
Smith Machine Incline Press: 4 × 8–10  RIR 2  rest 120 s
Pec Deck: 4 × 12–15  RIR 2  rest 60 s
Cross-Body Cable Triceps Extension: 4 × 12–15/side  RIR 2  rest 60 s</t>
        </is>
      </c>
      <c r="Q41" s="2" t="inlineStr">
        <is>
          <t>You're low on energy today, so we're keeping you further from failure on Pec Deck and Cross-Body Cable Triceps Extension, leaving left out and slowing the eccentric on Parallel Bar Dip instead of adding load. Your muscle goal is why 2 accessory movements sit behind the main lifts at moderate reps.</t>
        </is>
      </c>
      <c r="R41" s="2" t="inlineStr">
        <is>
          <t>Session: Upper Push, variant paired, 5 exercises, 20 working sets, est. 58.5 min for a 60-minute request; primary Dumbbell Bench Press 4 × 5–7 RIR 1; 0 superset(s), device none, methods ['paused reps on Dumbbell Bench Press', '3 s eccentric on Parallel Bar Dip'], finisher none.
[le] Low Energy realized ['rir', 'slot_removed']; total sets 20, avg RIR raised, near failure ['Dumbbell Bench Press'].
[bored_adv] Bored advanced: realized ['set_method']; methods [('paused reps', 'Dumbbell Bench Press'), ('3 s eccentric', 'Parallel Bar Dip')]; complexity-3+ movements ['Parallel Bar Dip']; continuity False.
[goal] Goal build_muscle: ['Compound + Paired Accessories shape (muscle goal weights it up)', '2 accessory movements behind the main lift, 8 accessory sets in the 10–20 range', '3 s eccentric on Parallel Bar Dip'].
Coherence bored: PASS
Coherence low_energy: PASS
Within a rep of failure: Dumbbell Bench Press.</t>
        </is>
      </c>
      <c r="S41" s="2" t="inlineStr">
        <is>
          <t>state = bored (expression: new_structure) → intended: refresh_the_experience → realized: paused reps on Dumbbell Bench Press
state = low_energy (expression: simplify) → intended: reduce_training_cost → realized: left out EZ-Bar Skull Crusher; Pec Deck RIR 1→2; Cross-Body Cable Triceps Extension RIR 1→2; 3 s eccentric on Parallel Bar Dip
experience = advanced → intended: match_programming_vocabulary_to_level → realized: paused reps on Dumbbell Bench Press; 3 s eccentric on Parallel Bar Dip; Dumbbell Bench Press runs to RIR 1 (advanced band position); higher-complexity movements kept in: Parallel Bar Dip
goal = build_muscle → intended: hypertrophy_volume_and_accessories → realized: Compound + Paired Accessories shape (muscle goal weights it up); 2 accessory movements behind the main lift, 8 accessory sets in the 10–20 range; 3 s eccentric on Parallel Bar Dip
duration = 60 → intended: fill_the_requested_time_with_useful_work → realized: estimated 58.5 min for a 60-minute request
equipment = commercial_gym → intended: availability_only → realized: nothing (no claim made)
history = first session → intended: rotate_shape_and_movements_keep_the_main_lift → realized: nothing (no claim made)</t>
        </is>
      </c>
      <c r="T41" s="2" t="inlineStr">
        <is>
          <t>bored: attempt 0 expression 'new_structure' realized ['set_method'] no-ops [] → satisfied
low_energy: attempt 0 expression 'simplify' realized ['slot_removed', 'rir', 'set_method'] no-ops [] → satisfied</t>
        </is>
      </c>
      <c r="U41" s="2" t="inlineStr">
        <is>
          <t>Dumbbell Bench Press (4 × 5–7 · paused reps) leads as the main lift, then 2 strength lifts and 2 accessories.
20 working sets across 5 exercises, about 58 minutes.
Main work stops about 1 rep short of failure, accessories about 2 reps short of failure.
Advanced difficulty keeps the full exercise range open; today the best fits sit within it without needing the most complex options.
Your profile goal is to build muscle; today's Strength session is built from today's choices.</t>
        </is>
      </c>
      <c r="V41" s="2" t="n"/>
      <c r="W41" s="2" t="n"/>
    </row>
    <row r="42">
      <c r="A42" s="2" t="inlineStr">
        <is>
          <t>I. Custom Target</t>
        </is>
      </c>
      <c r="B42" s="2" t="inlineStr">
        <is>
          <t>Chest, 60, intermediate</t>
        </is>
      </c>
      <c r="C42" s="2" t="inlineStr">
        <is>
          <t>wes / 2026-11-04</t>
        </is>
      </c>
      <c r="D42" s="2" t="inlineStr">
        <is>
          <t>none</t>
        </is>
      </c>
      <c r="E42" s="2" t="inlineStr">
        <is>
          <t>intermediate</t>
        </is>
      </c>
      <c r="F42" s="2" t="inlineStr">
        <is>
          <t>Build muscle</t>
        </is>
      </c>
      <c r="G42" s="2" t="n">
        <v>60</v>
      </c>
      <c r="H42" s="2" t="inlineStr">
        <is>
          <t>Custom Target: chest</t>
        </is>
      </c>
      <c r="I42" s="2" t="inlineStr">
        <is>
          <t>none</t>
        </is>
      </c>
      <c r="J42" s="2" t="inlineStr">
        <is>
          <t>first session</t>
        </is>
      </c>
      <c r="K42" s="2" t="inlineStr">
        <is>
          <t>Custom Target</t>
        </is>
      </c>
      <c r="L42" s="2" t="inlineStr">
        <is>
          <t>Traditional</t>
        </is>
      </c>
      <c r="M42" s="2" t="n">
        <v>50.6</v>
      </c>
      <c r="N42" s="2" t="n">
        <v>17</v>
      </c>
      <c r="O42" s="2" t="inlineStr"/>
      <c r="P42" s="2" t="inlineStr">
        <is>
          <t>Incline Dumbbell Press: 5 × 5–7  RIR 2  rest 165 s
Push-Up: 4 × 8–12  RIR 2  rest 120 s
Parallel Bar Dip: 4 × 8–10  RIR 2  rest 120 s
Cable Fly: 4 × 10–12  RIR 1  rest 60 s</t>
        </is>
      </c>
      <c r="Q42" s="2" t="inlineStr">
        <is>
          <t>Your muscle goal is why 1 accessory movement sits behind the main lifts at moderate reps.</t>
        </is>
      </c>
      <c r="R42" s="2" t="inlineStr">
        <is>
          <t>Session: Custom Target, variant traditional, 4 exercises, 17 working sets, est. 50.6 min for a 60-minute request; primary Incline Dumbbell Press 5 × 5–7 RIR 2; 0 superset(s), device none, methods none, finisher none.
[goal] Goal build_muscle: ['1 accessory movement behind the main lift, 4 accessory sets in the 10–20 range'].
Within a rep of failure: Cable Fly.</t>
        </is>
      </c>
      <c r="S42" s="2" t="inlineStr">
        <is>
          <t>experience = intermediate → intended: match_programming_vocabulary_to_level → realized: intermediate pool: Parallel Bar Dip
goal = build_muscle → intended: hypertrophy_volume_and_accessories → realized: 1 accessory movement behind the main lift, 4 accessory sets in the 10–20 range
target = ['chest'] → intended: cover_every_target_muscle_directly → realized: chest: Incline Dumbbell Press, Push-Up, Parallel Bar Dip, Cable Fly
duration = 60 → intended: fill_the_requested_time_with_useful_work → realized: filled toward the requested time: primary_set_added; estimated 50.6 min for a 60-minute request
equipment = commercial_gym → intended: availability_only → realized: nothing (no claim made)
history = first session → intended: rotate_shape_and_movements_keep_the_main_lift → realized: nothing (no claim made)</t>
        </is>
      </c>
      <c r="T42" s="2" t="inlineStr">
        <is>
          <t>no State</t>
        </is>
      </c>
      <c r="U42" s="2" t="inlineStr">
        <is>
          <t>All 4 movements train chest, opening with Incline Dumbbell Press (5 × 5–7).
17 working sets across 4 exercises, about 51 minutes.
Main work stops about 2 reps short of failure.
Intermediate difficulty: every movement is within the intermediate complexity and skill limits.
Your profile goal is to build muscle; today's Strength session is built from today's choices.</t>
        </is>
      </c>
      <c r="V42" s="2" t="n"/>
      <c r="W42" s="2" t="n"/>
    </row>
    <row r="43">
      <c r="A43" s="2" t="inlineStr">
        <is>
          <t>I. Custom Target</t>
        </is>
      </c>
      <c r="B43" s="2" t="inlineStr">
        <is>
          <t>Biceps, 60, intermediate, Bored</t>
        </is>
      </c>
      <c r="C43" s="2" t="inlineStr">
        <is>
          <t>wes / 2026-11-05</t>
        </is>
      </c>
      <c r="D43" s="2" t="inlineStr">
        <is>
          <t>bored</t>
        </is>
      </c>
      <c r="E43" s="2" t="inlineStr">
        <is>
          <t>intermediate</t>
        </is>
      </c>
      <c r="F43" s="2" t="inlineStr">
        <is>
          <t>Build muscle</t>
        </is>
      </c>
      <c r="G43" s="2" t="n">
        <v>60</v>
      </c>
      <c r="H43" s="2" t="inlineStr">
        <is>
          <t>Custom Target: biceps</t>
        </is>
      </c>
      <c r="I43" s="2" t="inlineStr">
        <is>
          <t>none</t>
        </is>
      </c>
      <c r="J43" s="2" t="inlineStr">
        <is>
          <t>first session</t>
        </is>
      </c>
      <c r="K43" s="2" t="inlineStr">
        <is>
          <t>Custom Target</t>
        </is>
      </c>
      <c r="L43" s="2" t="inlineStr">
        <is>
          <t>Compound + Paired Accessories</t>
        </is>
      </c>
      <c r="M43" s="2" t="n">
        <v>43.3</v>
      </c>
      <c r="N43" s="2" t="n">
        <v>16</v>
      </c>
      <c r="O43" s="2" t="inlineStr">
        <is>
          <t>drop_set</t>
        </is>
      </c>
      <c r="P43" s="2" t="inlineStr">
        <is>
          <t>Curl to Arnold Press: 4 × 8–10  RIR 2  rest 150 s
Bayesian Cable Curl: 4 × 12–15/side · drop set on the final set  RIR 1  (On the last set, hit the reps, drop the load about 25% and go again to the same reps-in-reserve. Stop each set with about 1 rep left in the tank.)  rest 60 s
Barbell Curl: 4 × 12–15  RIR 1  rest 60 s
EZ-Bar Preacher Curl: 4 × 12–15  RIR 1  rest 60 s</t>
        </is>
      </c>
      <c r="Q43" s="2" t="inlineStr">
        <is>
          <t>You're bored today, so we're changing the feel with drop set on the final set on the Bayesian Cable Curl and bringing in 1 less-familiar movement. As an intermediate lifter, drop set on the final set on Bayesian Cable Curl is on the table. For muscle, the volume lives in the accessories: 3 movements at moderate reps.</t>
        </is>
      </c>
      <c r="R43" s="2" t="inlineStr">
        <is>
          <t>Session: Custom Target, variant paired, 4 exercises, 16 working sets, est. 43.3 min for a 60-minute request; primary none (no primary compound in this archetype); 0 superset(s), device none, methods ['drop set on the final set on Bayesian Cable Curl'], finisher none.
[bored] Bored realized ['exercises', 'set_method']; novel movements ['Curl to Arnold Press', 'Bayesian Cable Curl'].
[level] Intermediate: ['drop set on the final set on Bayesian Cable Curl (intermediate and up)', 'intermediate pool: Curl to Arnold Press'].
[goal] Goal build_muscle: ['Compound + Paired Accessories shape (muscle goal weights it up)', '3 accessory movements, 12 accessory sets in the 10–20 range', 'drop set on the final set on Bayesian Cable Curl'].
Coherence bored: PASS
Within a rep of failure: Bayesian Cable Curl, Barbell Curl, EZ-Bar Preacher Curl.</t>
        </is>
      </c>
      <c r="S43" s="2" t="inlineStr">
        <is>
          <t>state = bored (expression: new_exercises) → intended: refresh_the_experience → realized: drop set on the final set on Bayesian Cable Curl; Bayesian Cable Curl (new vs no-State build)
experience = intermediate → intended: match_programming_vocabulary_to_level → realized: drop set on the final set on Bayesian Cable Curl (intermediate and up); intermediate pool: Curl to Arnold Press
goal = build_muscle → intended: hypertrophy_volume_and_accessories → realized: Compound + Paired Accessories shape (muscle goal weights it up); 3 accessory movements, 12 accessory sets in the 10–20 range; drop set on the final set on Bayesian Cable Curl
target = ['biceps'] → intended: cover_every_target_muscle_directly → realized: biceps: Curl to Arnold Press, Bayesian Cable Curl, Barbell Curl, EZ-Bar Preacher Curl
duration = 60 → intended: fill_the_requested_time_with_useful_work → realized: filled toward the requested time: rest_extended; estimated 43.3 min for a 60-minute request
equipment = commercial_gym → intended: availability_only → realized: nothing (no claim made)
history = first session → intended: rotate_shape_and_movements_keep_the_main_lift → realized: nothing (no claim made)</t>
        </is>
      </c>
      <c r="T43" s="2" t="inlineStr">
        <is>
          <t>bored: attempt 0 expression 'new_exercises' realized ['set_method', 'exercises'] no-ops [] → satisfied</t>
        </is>
      </c>
      <c r="U43" s="2" t="inlineStr">
        <is>
          <t>All 4 movements train biceps, opening with Curl to Arnold Press (4 × 8–10).
16 working sets across 4 exercises, about 43 minutes.
Main work stops about 2 reps short of failure.
Intermediate difficulty: every movement is within the intermediate complexity and skill limits.
Your profile goal is to build muscle; today's Strength session is built from today's choices.</t>
        </is>
      </c>
      <c r="V43" s="2" t="n"/>
      <c r="W43" s="2" t="n"/>
    </row>
    <row r="44">
      <c r="A44" s="2" t="inlineStr">
        <is>
          <t>I. Custom Target</t>
        </is>
      </c>
      <c r="B44" s="2" t="inlineStr">
        <is>
          <t>Back + Core, 30, intermediate</t>
        </is>
      </c>
      <c r="C44" s="2" t="inlineStr">
        <is>
          <t>wes / 2026-11-06</t>
        </is>
      </c>
      <c r="D44" s="2" t="inlineStr">
        <is>
          <t>none</t>
        </is>
      </c>
      <c r="E44" s="2" t="inlineStr">
        <is>
          <t>intermediate</t>
        </is>
      </c>
      <c r="F44" s="2" t="inlineStr">
        <is>
          <t>Build muscle</t>
        </is>
      </c>
      <c r="G44" s="2" t="n">
        <v>30</v>
      </c>
      <c r="H44" s="2" t="inlineStr">
        <is>
          <t>Custom Target: back + core</t>
        </is>
      </c>
      <c r="I44" s="2" t="inlineStr">
        <is>
          <t>none</t>
        </is>
      </c>
      <c r="J44" s="2" t="inlineStr">
        <is>
          <t>first session</t>
        </is>
      </c>
      <c r="K44" s="2" t="inlineStr">
        <is>
          <t>Custom Target</t>
        </is>
      </c>
      <c r="L44" s="2" t="inlineStr">
        <is>
          <t>Compound + Paired Accessories</t>
        </is>
      </c>
      <c r="M44" s="2" t="n">
        <v>27.2</v>
      </c>
      <c r="N44" s="2" t="n">
        <v>12</v>
      </c>
      <c r="O44" s="2" t="inlineStr">
        <is>
          <t>slow_eccentric</t>
        </is>
      </c>
      <c r="P44" s="2" t="inlineStr">
        <is>
          <t>Barbell Row: 4 × 8–10 · 3 s eccentric  RIR 2  (Take 3 s to lower every rep, then lift at normal speed. Stop each set with about 2 reps left in the tank.)  rest 120 s
LADDER Cable Pullover: 4 sets: 15/12/9/7  RIR 1  rest 30 s
Hanging Knee Raise: 4 × 12–15  RIR 1  rest 45 s</t>
        </is>
      </c>
      <c r="Q44" s="2" t="inlineStr">
        <is>
          <t>As an intermediate lifter, 3 s eccentric on Barbell Row is on the table, and your muscle goal is why 2 accessory movements carry the session at moderate reps. Both back and core get direct work, in that order.</t>
        </is>
      </c>
      <c r="R44" s="2" t="inlineStr">
        <is>
          <t>Session: Custom Target, variant paired, 3 exercises, 12 working sets, est. 27.2 min for a 30-minute request; primary none (no primary compound in this archetype); 0 superset(s), device ladder, methods ['3 s eccentric on Barbell Row'], finisher none.
[level] Intermediate: ['3 s eccentric on Barbell Row (intermediate and up)', 'intermediate pool: Barbell Row'].
[goal] Goal build_muscle: ['Compound + Paired Accessories shape (muscle goal weights it up)', '2 accessory movements, 8 accessory sets in the 10–20 range', '3 s eccentric on Barbell Row'].
[target] Target: ['back: Barbell Row, Cable Pullover', 'core: Hanging Knee Raise'].
Within a rep of failure: Cable Pullover, Hanging Knee Raise.</t>
        </is>
      </c>
      <c r="S44" s="2" t="inlineStr">
        <is>
          <t>experience = intermediate → intended: match_programming_vocabulary_to_level → realized: 3 s eccentric on Barbell Row (intermediate and up); intermediate pool: Barbell Row
goal = build_muscle → intended: hypertrophy_volume_and_accessories → realized: Compound + Paired Accessories shape (muscle goal weights it up); 2 accessory movements, 8 accessory sets in the 10–20 range; 3 s eccentric on Barbell Row
target = ['back', 'core'] → intended: cover_every_target_muscle_directly → realized: back: Barbell Row, Cable Pullover; core: Hanging Knee Raise
duration = 30 → intended: fill_the_requested_time_with_useful_work → realized: filled toward the requested time: set_added; 30-minute session: 3 exercises, 12 working sets, main work kept; estimated 27.2 min for a 30-minute request
equipment = commercial_gym → intended: availability_only → realized: nothing (no claim made)
history = first session → intended: rotate_shape_and_movements_keep_the_main_lift → realized: nothing (no claim made)</t>
        </is>
      </c>
      <c r="T44" s="2" t="inlineStr">
        <is>
          <t>no State</t>
        </is>
      </c>
      <c r="U44" s="2" t="inlineStr">
        <is>
          <t>30 minutes: 3 exercises and 12 working sets, with the main work kept.
Back gets 2 movements while Core gets 1, with Core saved for the end.
12 working sets across 3 exercises, about 27 minutes.
Main work stops about 2 reps short of failure.
Intermediate difficulty: every movement is within the intermediate complexity and skill limits.</t>
        </is>
      </c>
      <c r="V44" s="2" t="n"/>
      <c r="W44" s="2" t="n"/>
    </row>
    <row r="45">
      <c r="A45" s="2" t="inlineStr">
        <is>
          <t>I. Custom Target</t>
        </is>
      </c>
      <c r="B45" s="2" t="inlineStr">
        <is>
          <t>Quads + Hamstrings, 60, advanced, build strength, Amped</t>
        </is>
      </c>
      <c r="C45" s="2" t="inlineStr">
        <is>
          <t>wes / 2026-11-07</t>
        </is>
      </c>
      <c r="D45" s="2" t="inlineStr">
        <is>
          <t>amped</t>
        </is>
      </c>
      <c r="E45" s="2" t="inlineStr">
        <is>
          <t>advanced</t>
        </is>
      </c>
      <c r="F45" s="2" t="inlineStr">
        <is>
          <t>Build strength</t>
        </is>
      </c>
      <c r="G45" s="2" t="n">
        <v>60</v>
      </c>
      <c r="H45" s="2" t="inlineStr">
        <is>
          <t>Custom Target: quads + hamstrings</t>
        </is>
      </c>
      <c r="I45" s="2" t="inlineStr">
        <is>
          <t>none</t>
        </is>
      </c>
      <c r="J45" s="2" t="inlineStr">
        <is>
          <t>first session</t>
        </is>
      </c>
      <c r="K45" s="2" t="inlineStr">
        <is>
          <t>Custom Target</t>
        </is>
      </c>
      <c r="L45" s="2" t="inlineStr">
        <is>
          <t>Compound + Paired Accessories</t>
        </is>
      </c>
      <c r="M45" s="2" t="n">
        <v>58.1</v>
      </c>
      <c r="N45" s="2" t="n">
        <v>22</v>
      </c>
      <c r="O45" s="2" t="inlineStr">
        <is>
          <t>slow_eccentric</t>
        </is>
      </c>
      <c r="P45" s="2" t="inlineStr">
        <is>
          <t>Smith Machine Squat: 4 × 6–8 · 3 s eccentric  RIR 1  (Take 3 s to lower every rep, then lift at normal speed. Stop each set with about 1 rep left in the tank.)  rest 120 s
Walking Lunge: 4 × 6–8/side  RIR 2  rest 120 s
SUPERSET A (3 rounds, rest 60 s after each round)
  A1 Reverse Nordic Curl: 3 × 12–15  RIR 2
  A2 Standing Single-Leg Curl: 3 × 10–12/side  RIR 2
Barbell Good Morning: 4 × 6–8  RIR 2  rest 120 s
Conventional Deadlift: 4 × 6–8  RIR 2  rest 120 s</t>
        </is>
      </c>
      <c r="Q45" s="2" t="inlineStr">
        <is>
          <t>You're amped today, so we're taking Smith Machine Squat a rep closer to failure. You're advanced, so we're keeping 3 s eccentric on Smith Machine Squat in the mix. Both quads and hamstrings get direct work, in that order.</t>
        </is>
      </c>
      <c r="R45" s="2" t="inlineStr">
        <is>
          <t>Session: Custom Target, variant paired, 6 exercises, 22 working sets, est. 58.1 min for a 60-minute request; primary none (no primary compound in this archetype); 1 superset(s), device none, methods ['3 s eccentric on Smith Machine Squat'], finisher none.
[amped] Amped realized ['rir']; near failure ['Smith Machine Squat']; total sets 22.
[level] Advanced: ['3 s eccentric on Smith Machine Squat', 'higher-complexity movements kept in: Barbell Good Morning, Conventional Deadlift'].
[target] Target: ['quads: Smith Machine Squat, Walking Lunge, Reverse Nordic Curl', 'hamstrings: Barbell Good Morning, Conventional Deadlift, Standing Single-Leg Curl'].
Coherence amped: PASS; before repairs: ['6 movements within a rep of failure (failure training)']
Coherence repairs: amped: trim_near_failure (Walking Lunge RIR 1→2, Reverse Nordic Curl RIR 1→2, Barbell Good Morning RIR 1→2, Conventional Deadlift RIR 1→2, Standing Single-Leg Curl RIR 1→2)
Within a rep of failure: Smith Machine Squat.
Demanding compounds (systemic 4+): Walking Lunge, Conventional Deadlift.</t>
        </is>
      </c>
      <c r="S45" s="2" t="inlineStr">
        <is>
          <t>state = amped (expression: heavy_end) → intended: use_readiness_productively → realized: Smith Machine Squat RIR 2→1
experience = advanced → intended: match_programming_vocabulary_to_level → realized: 3 s eccentric on Smith Machine Squat; higher-complexity movements kept in: Barbell Good Morning, Conventional Deadlift
goal = build_strength → intended: primary_emphasis_heavier_longer_rest → realized: nothing (no claim made)
target = ['quads', 'hamstrings'] → intended: cover_every_target_muscle_directly → realized: quads: Smith Machine Squat, Walking Lunge, Reverse Nordic Curl; hamstrings: Barbell Good Morning, Conventional Deadlift, Standing Single-Leg Curl
duration = 60 → intended: fill_the_requested_time_with_useful_work → realized: trimmed to fit: finisher_dropped; estimated 58.1 min for a 60-minute request
equipment = commercial_gym → intended: availability_only → realized: nothing (no claim made)
history = first session → intended: rotate_shape_and_movements_keep_the_main_lift → realized: nothing (no claim made)</t>
        </is>
      </c>
      <c r="T45" s="2" t="inlineStr">
        <is>
          <t>amped: attempt 0 expression 'heavy_end' realized ['rir'] no-ops ['state_reps_no_effect'] → satisfied</t>
        </is>
      </c>
      <c r="U45" s="2" t="inlineStr">
        <is>
          <t>Quads and Hamstrings get 3 movements each.
22 working sets across 6 exercises, about 58 minutes.
Main work stops about 1 rep short of failure.
Advanced difficulty keeps the full exercise range open; today the best fits sit within it without needing the most complex options.
Your profile goal is to build strength; today's Strength session is built from today's choices.</t>
        </is>
      </c>
      <c r="V45" s="2" t="n"/>
      <c r="W45" s="2" t="n"/>
    </row>
    <row r="46">
      <c r="A46" s="2" t="inlineStr">
        <is>
          <t>J. Sequential: same user, Upper Push, Amped every session (4 sessions)</t>
        </is>
      </c>
      <c r="B46" s="2" t="inlineStr">
        <is>
          <t>Session 1 (amped)</t>
        </is>
      </c>
      <c r="C46" s="2" t="inlineStr">
        <is>
          <t>seqA / 2026-11-10</t>
        </is>
      </c>
      <c r="D46" s="2" t="inlineStr">
        <is>
          <t>amped</t>
        </is>
      </c>
      <c r="E46" s="2" t="inlineStr">
        <is>
          <t>intermediate</t>
        </is>
      </c>
      <c r="F46" s="2" t="inlineStr">
        <is>
          <t>Build muscle</t>
        </is>
      </c>
      <c r="G46" s="2" t="n">
        <v>60</v>
      </c>
      <c r="H46" s="2" t="inlineStr">
        <is>
          <t>Upper Push</t>
        </is>
      </c>
      <c r="I46" s="2" t="inlineStr">
        <is>
          <t>none</t>
        </is>
      </c>
      <c r="J46" s="2" t="inlineStr">
        <is>
          <t>first session</t>
        </is>
      </c>
      <c r="K46" s="2" t="inlineStr">
        <is>
          <t>Upper Push</t>
        </is>
      </c>
      <c r="L46" s="2" t="inlineStr">
        <is>
          <t>Top Set + Back-off</t>
        </is>
      </c>
      <c r="M46" s="2" t="n">
        <v>59.5</v>
      </c>
      <c r="N46" s="2" t="n">
        <v>21</v>
      </c>
      <c r="O46" s="2" t="inlineStr"/>
      <c r="P46" s="2" t="inlineStr">
        <is>
          <t>Barbell Bench Press: 4 sets: 4/7/7/7  RIR 1  (Top set heavy, then back off 10–15% for the remaining sets. Stop each set with about 1 rep left in the tank.)  rest 225 s
Parallel Bar Dip: 4 × 8–10  RIR 2  rest 135 s
Smith Machine Incline Press: 4 × 8–10  RIR 2  rest 135 s
Dumbbell Fly: 3 × 10–12  RIR 1  rest 45 s
Cross-Body Cable Triceps Extension: 3 × 10–12/side  RIR 2  rest 45 s
Machine Triceps Extension: 3 × 10–12  RIR 2  rest 45 s</t>
        </is>
      </c>
      <c r="Q46" s="2" t="inlineStr">
        <is>
          <t>You're amped today, so we're putting that readiness into a heavy top set and back-off sets and taking Barbell Bench Press a rep closer to failure. As an intermediate lifter, the top-set scheme is in play, and your muscle goal is why 3 accessory movements sit behind the main lifts at moderate reps.</t>
        </is>
      </c>
      <c r="R46" s="2" t="inlineStr">
        <is>
          <t>Session: Upper Push, variant top_backoff, 6 exercises, 21 working sets, est. 59.5 min for a 60-minute request; primary Barbell Bench Press 4 × 5–7 RIR 1; 0 superset(s), device none, methods none, finisher none.
[amped] Amped realized ['rir', 'structure']; near failure ['Barbell Bench Press', 'Dumbbell Fly']; total sets 21.
[level] Intermediate: ['Top Set + Back-off (intermediate and up)', 'intermediate pool: Barbell Bench Press, Parallel Bar Dip'].
[goal] Goal build_muscle: ['3 accessory movements behind the main lift, 9 accessory sets in the 10–20 range'].
Coherence amped: PASS; before repairs: ['4 movements within a rep of failure (failure training)']
Coherence repairs: amped: trim_near_failure (Cross-Body Cable Triceps Extension RIR 1→2, Machine Triceps Extension RIR 1→2)
Within a rep of failure: Barbell Bench Press, Dumbbell Fly.</t>
        </is>
      </c>
      <c r="S46" s="2" t="inlineStr">
        <is>
          <t>state = amped (expression: top_set) → intended: use_readiness_productively → realized: Barbell Bench Press RIR 2→1; Top Set + Back-off instead of Compound + Paired Accessories
experience = intermediate → intended: match_programming_vocabulary_to_level → realized: Top Set + Back-off (intermediate and up); intermediate pool: Barbell Bench Press, Parallel Bar Dip
goal = build_muscle → intended: hypertrophy_volume_and_accessories → realized: 3 accessory movements behind the main lift, 9 accessory sets in the 10–20 range
duration = 60 → intended: fill_the_requested_time_with_useful_work → realized: trimmed to fit: accessory_rest_shortened; estimated 59.5 min for a 60-minute request
equipment = commercial_gym → intended: availability_only → realized: nothing (no claim made)
history = first session → intended: rotate_shape_and_movements_keep_the_main_lift → realized: nothing (no claim made)</t>
        </is>
      </c>
      <c r="T46" s="2" t="inlineStr">
        <is>
          <t>amped: attempt 0 expression 'top_set' realized ['rir', 'structure'] no-ops [] → satisfied</t>
        </is>
      </c>
      <c r="U46" s="2" t="inlineStr">
        <is>
          <t>Barbell Bench Press (4 sets: 4/7/7/7) leads as the main lift, then 2 strength lifts and 3 accessories.
21 working sets across 6 exercises, about 60 minutes.
Main work stops about 1 rep short of failure.
Intermediate difficulty: every movement is within the intermediate complexity and skill limits.
Your profile goal is to build muscle; today's Strength session is built from today's choices.</t>
        </is>
      </c>
      <c r="V46" s="2" t="n"/>
      <c r="W46" s="2" t="n"/>
    </row>
    <row r="47">
      <c r="A47" s="2" t="inlineStr">
        <is>
          <t>J. Sequential: same user, Upper Push, Amped every session (4 sessions)</t>
        </is>
      </c>
      <c r="B47" s="2" t="inlineStr">
        <is>
          <t>Session 2 (amped)</t>
        </is>
      </c>
      <c r="C47" s="2" t="inlineStr">
        <is>
          <t>seqA / 2026-11-12</t>
        </is>
      </c>
      <c r="D47" s="2" t="inlineStr">
        <is>
          <t>amped</t>
        </is>
      </c>
      <c r="E47" s="2" t="inlineStr">
        <is>
          <t>intermediate</t>
        </is>
      </c>
      <c r="F47" s="2" t="inlineStr">
        <is>
          <t>Build muscle</t>
        </is>
      </c>
      <c r="G47" s="2" t="n">
        <v>60</v>
      </c>
      <c r="H47" s="2" t="inlineStr">
        <is>
          <t>Upper Push</t>
        </is>
      </c>
      <c r="I47" s="2" t="inlineStr">
        <is>
          <t>none</t>
        </is>
      </c>
      <c r="J47" s="2" t="inlineStr">
        <is>
          <t>1 completed session(s); last: strength_upper_push / Top Set + Back-off</t>
        </is>
      </c>
      <c r="K47" s="2" t="inlineStr">
        <is>
          <t>Upper Push</t>
        </is>
      </c>
      <c r="L47" s="2" t="inlineStr">
        <is>
          <t>Compound + Paired Accessories</t>
        </is>
      </c>
      <c r="M47" s="2" t="n">
        <v>56.4</v>
      </c>
      <c r="N47" s="2" t="n">
        <v>20</v>
      </c>
      <c r="O47" s="2" t="inlineStr"/>
      <c r="P47" s="2" t="inlineStr">
        <is>
          <t>Barbell Bench Press: 5 × 5–7  RIR 2  rest 180 s
Parallel Bar Dip: 4 × 8–10  RIR 2  rest 120 s
Plate-Loaded Incline Press: 4 × 8–10  RIR 2  rest 120 s
SUPERSET A (2 rounds, rest 60 s after each round)
  A1 Cable Fly: 2 × 12–15  RIR 1
  A2 Dumbbell Overhead Triceps Extension: 2 × 12–15  RIR 1
Diamond Push-Up: 3 × 12–15  RIR 1  rest 60 s</t>
        </is>
      </c>
      <c r="Q47" s="2" t="inlineStr">
        <is>
          <t>You're amped today, so we're adding a working set to Barbell Bench Press. For muscle, the volume lives in the accessories: 3 movements at moderate reps behind Barbell Bench Press. Barbell Bench Press and Parallel Bar Dip stay so your progression carries over, the shape is different from last time and 4 movements are new.</t>
        </is>
      </c>
      <c r="R47" s="2" t="inlineStr">
        <is>
          <t>Session: Upper Push, variant paired, 6 exercises, 20 working sets, est. 56.4 min for a 60-minute request; primary Barbell Bench Press 5 × 5–7 RIR 2; 1 superset(s), device none, methods none, finisher none.
[amped] Amped realized ['volume']; near failure ['Cable Fly', 'Dumbbell Overhead Triceps Extension', 'Diamond Push-Up']; total sets 20.
[goal] Goal build_muscle: ['Compound + Paired Accessories shape (muscle goal weights it up)', '3 accessory movements behind the main lift, 7 accessory sets in the 10–20 range'].
[history] History: ['different shape from your last Upper Push (Top Set + Back-off then, Compound + Paired Accessories now)', 'main lift continuity for progression: Barbell Bench Press, Parallel Bar Dip', '4 movements not in your last Upper Push session', 'amped: expressed differently from last time (top_set then, extra_set_paired now)'].
Coherence amped: PASS
Within a rep of failure: Cable Fly, Dumbbell Overhead Triceps Extension, Diamond Push-Up.</t>
        </is>
      </c>
      <c r="S47" s="2" t="inlineStr">
        <is>
          <t>state = amped (expression: extra_set_paired) → intended: use_readiness_productively → realized: Barbell Bench Press 4→5 sets
experience = intermediate → intended: match_programming_vocabulary_to_level → realized: intermediate pool: Barbell Bench Press, Parallel Bar Dip
goal = build_muscle → intended: hypertrophy_volume_and_accessories → realized: Compound + Paired Accessories shape (muscle goal weights it up); 3 accessory movements behind the main lift, 7 accessory sets in the 10–20 range
duration = 60 → intended: fill_the_requested_time_with_useful_work → realized: trimmed to fit: set_removed; estimated 56.4 min for a 60-minute request
equipment = commercial_gym → intended: availability_only → realized: nothing (no claim made)
history = 1 completed Strength sessions → intended: rotate_shape_and_movements_keep_the_main_lift → realized: different shape from your last Upper Push (Top Set + Back-off then, Compound + Paired Accessories now); main lift continuity for progression: Barbell Bench Press, Parallel Bar Dip; 4 movements not in your last Upper Push session; amped: expressed differently from last time (top_set then, extra_set_paired now)</t>
        </is>
      </c>
      <c r="T47" s="2" t="inlineStr">
        <is>
          <t>amped: attempt 0 expression 'extra_set_paired' realized ['volume'] no-ops [] → satisfied</t>
        </is>
      </c>
      <c r="U47" s="2" t="inlineStr">
        <is>
          <t>Barbell Bench Press (5 × 5–7) leads as the main lift, then 2 strength lifts and 3 accessories, with part of it run as a superset.
20 working sets across 6 exercises, about 56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47" s="2" t="n"/>
      <c r="W47" s="2" t="n"/>
    </row>
    <row r="48">
      <c r="A48" s="2" t="inlineStr">
        <is>
          <t>J. Sequential: same user, Upper Push, Amped every session (4 sessions)</t>
        </is>
      </c>
      <c r="B48" s="2" t="inlineStr">
        <is>
          <t>Session 3 (amped)</t>
        </is>
      </c>
      <c r="C48" s="2" t="inlineStr">
        <is>
          <t>seqA / 2026-11-14</t>
        </is>
      </c>
      <c r="D48" s="2" t="inlineStr">
        <is>
          <t>amped</t>
        </is>
      </c>
      <c r="E48" s="2" t="inlineStr">
        <is>
          <t>intermediate</t>
        </is>
      </c>
      <c r="F48" s="2" t="inlineStr">
        <is>
          <t>Build muscle</t>
        </is>
      </c>
      <c r="G48" s="2" t="n">
        <v>60</v>
      </c>
      <c r="H48" s="2" t="inlineStr">
        <is>
          <t>Upper Push</t>
        </is>
      </c>
      <c r="I48" s="2" t="inlineStr">
        <is>
          <t>none</t>
        </is>
      </c>
      <c r="J48" s="2" t="inlineStr">
        <is>
          <t>2 completed session(s); last: strength_upper_push / Compound + Paired Accessories</t>
        </is>
      </c>
      <c r="K48" s="2" t="inlineStr">
        <is>
          <t>Upper Push</t>
        </is>
      </c>
      <c r="L48" s="2" t="inlineStr">
        <is>
          <t>Heavy Primary</t>
        </is>
      </c>
      <c r="M48" s="2" t="n">
        <v>58.7</v>
      </c>
      <c r="N48" s="2" t="n">
        <v>19</v>
      </c>
      <c r="O48" s="2" t="inlineStr"/>
      <c r="P48" s="2" t="inlineStr">
        <is>
          <t>Barbell Bench Press: 5 × 4–6  RIR 1  rest 225 s
Parallel Bar Dip: 4 × 8–10  RIR 2  rest 135 s
Smith Machine Incline Press: 4 × 8–10  RIR 2  rest 135 s
Pec Deck: 3 × 10–12  RIR 1  rest 60 s
Cable Triceps Pressdown: 3 × 10–12  RIR 1  rest 60 s</t>
        </is>
      </c>
      <c r="Q48" s="2" t="inlineStr">
        <is>
          <t>You're amped today, so we're taking Barbell Bench Press a rep closer to failure. For muscle, the volume lives in the accessories: 2 movements at moderate reps behind Barbell Bench Press. Barbell Bench Press and Parallel Bar Dip stay so your progression carries over, the shape is different from last time and 3 movements are new.</t>
        </is>
      </c>
      <c r="R48" s="2" t="inlineStr">
        <is>
          <t>Session: Upper Push, variant heavy_primary, 5 exercises, 19 working sets, est. 58.7 min for a 60-minute request; primary Barbell Bench Press 5 × 4–6 RIR 1; 0 superset(s), device none, methods none, finisher none.
[amped] Amped realized ['rir']; near failure ['Barbell Bench Press', 'Pec Deck', 'Cable Triceps Pressdown']; total sets 19.
[goal] Goal build_muscle: ['2 accessory movements behind the main lift, 6 accessory sets in the 10–20 range'].
[history] History: ['different shape from your last Upper Push (Compound + Paired Accessories then, Heavy Primary now)', 'main lift continuity for progression: Barbell Bench Press, Parallel Bar Dip', '3 movements not in your last Upper Push session', 'amped: expressed differently from last time (extra_set_paired then, top_set now)'].
Coherence amped: PASS
Within a rep of failure: Barbell Bench Press, Pec Deck, Cable Triceps Pressdown.</t>
        </is>
      </c>
      <c r="S48" s="2" t="inlineStr">
        <is>
          <t>state = amped (expression: top_set) → intended: use_readiness_productively → realized: Barbell Bench Press RIR 2→1
experience = intermediate → intended: match_programming_vocabulary_to_level → realized: intermediate pool: Barbell Bench Press, Parallel Bar Dip
goal = build_muscle → intended: hypertrophy_volume_and_accessories → realized: 2 accessory movements behind the main lift, 6 accessory sets in the 10–20 range
duration = 60 → intended: fill_the_requested_time_with_useful_work → realized: estimated 58.7 min for a 60-minute request
equipment = commercial_gym → intended: availability_only → realized: nothing (no claim made)
history = 2 completed Strength sessions → intended: rotate_shape_and_movements_keep_the_main_lift → realized: different shape from your last Upper Push (Compound + Paired Accessories then, Heavy Primary now); main lift continuity for progression: Barbell Bench Press, Parallel Bar Dip; 3 movements not in your last Upper Push session; amped: expressed differently from last time (extra_set_paired then, top_set now)</t>
        </is>
      </c>
      <c r="T48" s="2" t="inlineStr">
        <is>
          <t>amped: attempt 0 expression 'extra_set_paired' realized [] no-ops ['state_volume_no_effect'] → NOT satisfied
amped: fallback extra_set_paired → top_set
amped: attempt 1 expression 'top_set' realized ['rir'] no-ops [] → satisfied</t>
        </is>
      </c>
      <c r="U48" s="2" t="inlineStr">
        <is>
          <t>Barbell Bench Press (5 × 4–6) leads as the main lift, then 2 strength lifts and 2 accessories.
19 working sets across 5 exercises, about 59 minutes.
Main work stops about 1 rep short of failure.
Intermediate difficulty: every movement is within the intermediate complexity and skill limits.
Your profile goal is to build muscle; today's Strength session is built from today's choices.</t>
        </is>
      </c>
      <c r="V48" s="2" t="n"/>
      <c r="W48" s="2" t="n"/>
    </row>
    <row r="49">
      <c r="A49" s="2" t="inlineStr">
        <is>
          <t>J. Sequential: same user, Upper Push, Amped every session (4 sessions)</t>
        </is>
      </c>
      <c r="B49" s="2" t="inlineStr">
        <is>
          <t>Session 4 (amped)</t>
        </is>
      </c>
      <c r="C49" s="2" t="inlineStr">
        <is>
          <t>seqA / 2026-11-16</t>
        </is>
      </c>
      <c r="D49" s="2" t="inlineStr">
        <is>
          <t>amped</t>
        </is>
      </c>
      <c r="E49" s="2" t="inlineStr">
        <is>
          <t>intermediate</t>
        </is>
      </c>
      <c r="F49" s="2" t="inlineStr">
        <is>
          <t>Build muscle</t>
        </is>
      </c>
      <c r="G49" s="2" t="n">
        <v>60</v>
      </c>
      <c r="H49" s="2" t="inlineStr">
        <is>
          <t>Upper Push</t>
        </is>
      </c>
      <c r="I49" s="2" t="inlineStr">
        <is>
          <t>none</t>
        </is>
      </c>
      <c r="J49" s="2" t="inlineStr">
        <is>
          <t>3 completed session(s); last: strength_upper_push / Heavy Primary</t>
        </is>
      </c>
      <c r="K49" s="2" t="inlineStr">
        <is>
          <t>Upper Push</t>
        </is>
      </c>
      <c r="L49" s="2" t="inlineStr">
        <is>
          <t>Compound + Paired Accessories</t>
        </is>
      </c>
      <c r="M49" s="2" t="n">
        <v>54.5</v>
      </c>
      <c r="N49" s="2" t="n">
        <v>19</v>
      </c>
      <c r="O49" s="2" t="inlineStr">
        <is>
          <t>drop_set</t>
        </is>
      </c>
      <c r="P49" s="2" t="inlineStr">
        <is>
          <t>Barbell Bench Press: 4 × 4–6  RIR 2  rest 180 s
Parallel Bar Dip: 4 × 8–10  RIR 1  rest 120 s
Plate-Loaded Incline Press: 4 × 8–10 · drop set on the final set  RIR 2  (On the last set, hit the reps, drop the load about 25% and go again to the same reps-in-reserve. Stop each set with about 2 reps left in the tank.)  rest 120 s
SUPERSET A (2 rounds, rest 60 s after each round)
  A1 Dumbbell Fly: 2 × 12–15  RIR 2
  A2 EZ-Bar Skull Crusher: 2 × 12–15  RIR 2
Cable Triceps Kickback: 3 × 12–15/side  RIR 2  rest 60 s</t>
        </is>
      </c>
      <c r="Q49" s="2" t="inlineStr">
        <is>
          <t>You're amped today, so we're taking Parallel Bar Dip a rep closer to failure, pushing the main lifts to the heavy end of their range and using drop set on the final set on Plate-Loaded Incline Press. As an intermediate lifter, drop set on the final set on Plate-Loaded Incline Press is on the table. Your muscle goal is why 3 accessory movements sit behind the main lifts at moderate reps.</t>
        </is>
      </c>
      <c r="R49" s="2" t="inlineStr">
        <is>
          <t>Session: Upper Push, variant paired, 6 exercises, 19 working sets, est. 54.5 min for a 60-minute request; primary Barbell Bench Press 4 × 4–6 RIR 2; 1 superset(s), device none, methods ['drop set on the final set on Plate-Loaded Incline Press'], finisher none.
[amped] Amped realized ['rir', 'reps', 'set_method']; near failure ['Parallel Bar Dip']; total sets 19.
[level] Intermediate: ['drop set on the final set on Plate-Loaded Incline Press (intermediate and up)', 'intermediate pool: Barbell Bench Press, Parallel Bar Dip'].
[goal] Goal build_muscle: ['Compound + Paired Accessories shape (muscle goal weights it up)', '3 accessory movements behind the main lift, 7 accessory sets in the 10–20 range', 'drop set on the final set on Plate-Loaded Incline Press'].
[history] History: ['different shape from your last Upper Push (Heavy Primary then, Compound + Paired Accessories now)', 'main lift continuity for progression: Barbell Bench Press, Parallel Bar Dip', '4 movements not in your last Upper Push session', 'amped: expressed differently from last time (top_set then, heavy_end now)'].
Coherence amped: PASS; before repairs: ['5 movements within a rep of failure (failure training)']
Coherence repairs: amped: trim_near_failure (Plate-Loaded Incline Press RIR 1→2, Dumbbell Fly RIR 1→2, EZ-Bar Skull Crusher RIR 1→2, Cable Triceps Kickback RIR 1→2)
Within a rep of failure: Parallel Bar Dip.</t>
        </is>
      </c>
      <c r="S49" s="2" t="inlineStr">
        <is>
          <t>state = amped (expression: heavy_end) → intended: use_readiness_productively → realized: Barbell Bench Press 5–7→4–6; Parallel Bar Dip RIR 2→1; drop set on the final set on Plate-Loaded Incline Press
experience = intermediate → intended: match_programming_vocabulary_to_level → realized: drop set on the final set on Plate-Loaded Incline Press (intermediate and up); intermediate pool: Barbell Bench Press, Parallel Bar Dip
goal = build_muscle → intended: hypertrophy_volume_and_accessories → realized: Compound + Paired Accessories shape (muscle goal weights it up); 3 accessory movements behind the main lift, 7 accessory sets in the 10–20 range; drop set on the final set on Plate-Loaded Incline Press
duration = 60 → intended: fill_the_requested_time_with_useful_work → realized: trimmed to fit: finisher_dropped, set_removed; estimated 54.5 min for a 60-minute request
equipment = commercial_gym → intended: availability_only → realized: nothing (no claim made)
history = 3 completed Strength sessions → intended: rotate_shape_and_movements_keep_the_main_lift → realized: different shape from your last Upper Push (Heavy Primary then, Compound + Paired Accessories now); main lift continuity for progression: Barbell Bench Press, Parallel Bar Dip; 4 movements not in your last Upper Push session; amped: expressed differently from last time (top_set then, heavy_end now)</t>
        </is>
      </c>
      <c r="T49" s="2" t="inlineStr">
        <is>
          <t>amped: attempt 0 expression 'heavy_end' realized ['reps', 'rir', 'set_method'] no-ops [] → satisfied</t>
        </is>
      </c>
      <c r="U49" s="2" t="inlineStr">
        <is>
          <t>Barbell Bench Press (4 × 4–6) leads as the main lift, then 2 strength lifts and 3 accessories, with part of it run as a superset.
19 working sets across 6 exercises, about 54 minutes.
Main work stops about 2 reps short of failure.
Intermediate difficulty: every movement is within the intermediate complexity and skill limits.
Your profile goal is to build muscle; today's Strength session is built from today's choices.</t>
        </is>
      </c>
      <c r="V49" s="2" t="n"/>
      <c r="W49" s="2" t="n"/>
    </row>
    <row r="50">
      <c r="A50" s="2" t="inlineStr">
        <is>
          <t>K. Sequential: same user, MOOD's Pick, no State (5 sessions)</t>
        </is>
      </c>
      <c r="B50" s="2" t="inlineStr">
        <is>
          <t>Session 1 (no State)</t>
        </is>
      </c>
      <c r="C50" s="2" t="inlineStr">
        <is>
          <t>seqB / 2026-11-10</t>
        </is>
      </c>
      <c r="D50" s="2" t="inlineStr">
        <is>
          <t>none</t>
        </is>
      </c>
      <c r="E50" s="2" t="inlineStr">
        <is>
          <t>intermediate</t>
        </is>
      </c>
      <c r="F50" s="2" t="inlineStr">
        <is>
          <t>Build muscle</t>
        </is>
      </c>
      <c r="G50" s="2" t="n">
        <v>60</v>
      </c>
      <c r="H50" s="2" t="inlineStr">
        <is>
          <t>MOOD's Pick</t>
        </is>
      </c>
      <c r="I50" s="2" t="inlineStr">
        <is>
          <t>none</t>
        </is>
      </c>
      <c r="J50" s="2" t="inlineStr">
        <is>
          <t>first session</t>
        </is>
      </c>
      <c r="K50" s="2" t="inlineStr">
        <is>
          <t>Upper Pull</t>
        </is>
      </c>
      <c r="L50" s="2" t="inlineStr">
        <is>
          <t>Volume</t>
        </is>
      </c>
      <c r="M50" s="2" t="n">
        <v>54.2</v>
      </c>
      <c r="N50" s="2" t="n">
        <v>19</v>
      </c>
      <c r="O50" s="2" t="inlineStr">
        <is>
          <t>drop_set</t>
        </is>
      </c>
      <c r="P50" s="2" t="inlineStr">
        <is>
          <t>Chest-Supported Machine Row: 4 × 6–8  RIR 2  rest 150 s
Pull-Up: 4 × 10–12  RIR 2  rest 120 s
Bent-Over Dumbbell Row (Two-Arm): 4 × 10–12  RIR 2  rest 120 s
SUPERSET A (2 rounds, rest 60 s after each round)
  A1 Straight-Arm Pulldown: 2 × 12–15 · drop set on the final set  RIR 1  (On the last set, hit the reps, drop the load about 25% and go again to the same reps-in-reserve. Stop each set with about 1 rep left in the tank.)
  A2 EZ-Bar Preacher Curl: 2 × 12–15  RIR 1
Bayesian Cable Curl: 3 × 12–15/side  RIR 1  rest 60 s</t>
        </is>
      </c>
      <c r="Q50" s="2" t="inlineStr">
        <is>
          <t>As an intermediate lifter, drop set on the final set on Straight-Arm Pulldown is on the table. Your muscle goal is why 3 accessory movements sit behind the main lifts at moderate reps.</t>
        </is>
      </c>
      <c r="R50" s="2" t="inlineStr">
        <is>
          <t>Session: Upper Pull, variant volume, 6 exercises, 19 working sets, est. 54.2 min for a 60-minute request; primary Chest-Supported Machine Row 4 × 6–8 RIR 2; 1 superset(s), device none, methods ['drop set on the final set on Straight-Arm Pulldown'], finisher none.
[level] Intermediate: ['drop set on the final set on Straight-Arm Pulldown (intermediate and up)', 'intermediate pool: Pull-Up'].
[goal] Goal build_muscle: ['Volume shape (muscle goal weights it up)', '3 accessory movements behind the main lift, 7 accessory sets in the 10–20 range', 'drop set on the final set on Straight-Arm Pulldown'].
Within a rep of failure: Straight-Arm Pulldown, EZ-Bar Preacher Curl, Bayesian Cable Curl.</t>
        </is>
      </c>
      <c r="S50" s="2" t="inlineStr">
        <is>
          <t>experience = intermediate → intended: match_programming_vocabulary_to_level → realized: drop set on the final set on Straight-Arm Pulldown (intermediate and up); intermediate pool: Pull-Up
goal = build_muscle → intended: hypertrophy_volume_and_accessories → realized: Volume shape (muscle goal weights it up); 3 accessory movements behind the main lift, 7 accessory sets in the 10–20 range; drop set on the final set on Straight-Arm Pulldown
duration = 60 → intended: fill_the_requested_time_with_useful_work → realized: trimmed to fit: accessory_rest_shortened, set_removed; estimated 54.2 min for a 60-minute request
equipment = commercial_gym → intended: availability_only → realized: nothing (no claim made)
history = first session → intended: rotate_shape_and_movements_keep_the_main_lift → realized: nothing (no claim made)</t>
        </is>
      </c>
      <c r="T50" s="2" t="inlineStr">
        <is>
          <t>no State</t>
        </is>
      </c>
      <c r="U50" s="2" t="inlineStr">
        <is>
          <t>Chest-Supported Machine Row (4 × 6–8) leads as the main lift, then 2 strength lifts and 3 accessories, with part of it run as a superset.
19 working sets across 6 exercises, about 54 minutes.
Main work stops about 2 reps short of failure, accessories about 1 rep short of failure.
Intermediate difficulty: every movement is within the intermediate complexity and skill limits.
MOOD's Pick follows the rotation built for your goal to build muscle, at 3 to 4 days a week.</t>
        </is>
      </c>
      <c r="V50" s="2" t="n"/>
      <c r="W50" s="2" t="n"/>
    </row>
    <row r="51">
      <c r="A51" s="2" t="inlineStr">
        <is>
          <t>K. Sequential: same user, MOOD's Pick, no State (5 sessions)</t>
        </is>
      </c>
      <c r="B51" s="2" t="inlineStr">
        <is>
          <t>Session 2 (no State)</t>
        </is>
      </c>
      <c r="C51" s="2" t="inlineStr">
        <is>
          <t>seqB / 2026-11-12</t>
        </is>
      </c>
      <c r="D51" s="2" t="inlineStr">
        <is>
          <t>none</t>
        </is>
      </c>
      <c r="E51" s="2" t="inlineStr">
        <is>
          <t>intermediate</t>
        </is>
      </c>
      <c r="F51" s="2" t="inlineStr">
        <is>
          <t>Build muscle</t>
        </is>
      </c>
      <c r="G51" s="2" t="n">
        <v>60</v>
      </c>
      <c r="H51" s="2" t="inlineStr">
        <is>
          <t>MOOD's Pick</t>
        </is>
      </c>
      <c r="I51" s="2" t="inlineStr">
        <is>
          <t>none</t>
        </is>
      </c>
      <c r="J51" s="2" t="inlineStr">
        <is>
          <t>1 completed session(s); last: strength_upper_pull / Volume</t>
        </is>
      </c>
      <c r="K51" s="2" t="inlineStr">
        <is>
          <t>Lower Body: Squat</t>
        </is>
      </c>
      <c r="L51" s="2" t="inlineStr">
        <is>
          <t>Traditional</t>
        </is>
      </c>
      <c r="M51" s="2" t="n">
        <v>56.1</v>
      </c>
      <c r="N51" s="2" t="n">
        <v>20</v>
      </c>
      <c r="O51" s="2" t="inlineStr">
        <is>
          <t>slow_eccentric</t>
        </is>
      </c>
      <c r="P51" s="2" t="inlineStr">
        <is>
          <t>Barbell Back Squat: 4 × 5–7  RIR 2  rest 165 s
Leg Press: 4 × 8–10 · 3 s eccentric  RIR 2  (Take 3 s to lower every rep, then lift at normal speed. Stop each set with about 2 reps left in the tank.)  rest 120 s
Dumbbell Step-Up: 4 × 8–10/side  RIR 2  rest 120 s
Leg Extension: 4 × 10–12  RIR 1  rest 60 s
Roman Chair / GHD Glute-Ham Raise: 4 × 10–12  RIR 1  rest 60 s</t>
        </is>
      </c>
      <c r="Q51" s="2" t="inlineStr">
        <is>
          <t>As an intermediate lifter, 3 s eccentric on Leg Press is on the table, and your muscle goal is why 2 accessory movements sit behind the main lifts at moderate reps.</t>
        </is>
      </c>
      <c r="R51" s="2" t="inlineStr">
        <is>
          <t>Session: Lower Body: Squat, variant traditional, 5 exercises, 20 working sets, est. 56.1 min for a 60-minute request; primary Barbell Back Squat 4 × 5–7 RIR 2; 0 superset(s), device none, methods ['3 s eccentric on Leg Press'], finisher none.
[level] Intermediate: ['3 s eccentric on Leg Press (intermediate and up)', 'intermediate pool: Barbell Back Squat, Roman Chair / GHD Glute-Ham Raise'].
[goal] Goal build_muscle: ['2 accessory movements behind the main lift, 8 accessory sets in the 10–20 range', '3 s eccentric on Leg Press'].
Within a rep of failure: Leg Extension, Roman Chair / GHD Glute-Ham Raise.
Demanding compounds (systemic 4+): Barbell Back Squat.</t>
        </is>
      </c>
      <c r="S51" s="2" t="inlineStr">
        <is>
          <t>experience = intermediate → intended: match_programming_vocabulary_to_level → realized: 3 s eccentric on Leg Press (intermediate and up); intermediate pool: Barbell Back Squat, Roman Chair / GHD Glute-Ham Raise
goal = build_muscle → intended: hypertrophy_volume_and_accessories → realized: 2 accessory movements behind the main lift, 8 accessory sets in the 10–20 range; 3 s eccentric on Leg Press
duration = 60 → intended: fill_the_requested_time_with_useful_work → realized: estimated 56.1 min for a 60-minute request
equipment = commercial_gym → intended: availability_only → realized: nothing (no claim made)
history = 1 completed Strength sessions → intended: rotate_shape_and_movements_keep_the_main_lift → realized: nothing (no claim made)</t>
        </is>
      </c>
      <c r="T51" s="2" t="inlineStr">
        <is>
          <t>no State</t>
        </is>
      </c>
      <c r="U51" s="2" t="inlineStr">
        <is>
          <t>You trained Upper Pull last time, so MOOD's Pick rotates to Lower Body: Squat today.
Barbell Back Squat (4 × 5–7) leads as the main lift, then 2 strength lifts and 2 accessories.
20 working sets across 5 exercises, about 56 minutes.
Main work stops about 2 reps short of failure, accessories about 1 rep short of failure.
Intermediate difficulty: every movement is within the intermediate complexity and skill limits.</t>
        </is>
      </c>
      <c r="V51" s="2" t="n"/>
      <c r="W51" s="2" t="n"/>
    </row>
    <row r="52">
      <c r="A52" s="2" t="inlineStr">
        <is>
          <t>K. Sequential: same user, MOOD's Pick, no State (5 sessions)</t>
        </is>
      </c>
      <c r="B52" s="2" t="inlineStr">
        <is>
          <t>Session 3 (no State)</t>
        </is>
      </c>
      <c r="C52" s="2" t="inlineStr">
        <is>
          <t>seqB / 2026-11-14</t>
        </is>
      </c>
      <c r="D52" s="2" t="inlineStr">
        <is>
          <t>none</t>
        </is>
      </c>
      <c r="E52" s="2" t="inlineStr">
        <is>
          <t>intermediate</t>
        </is>
      </c>
      <c r="F52" s="2" t="inlineStr">
        <is>
          <t>Build muscle</t>
        </is>
      </c>
      <c r="G52" s="2" t="n">
        <v>60</v>
      </c>
      <c r="H52" s="2" t="inlineStr">
        <is>
          <t>MOOD's Pick</t>
        </is>
      </c>
      <c r="I52" s="2" t="inlineStr">
        <is>
          <t>none</t>
        </is>
      </c>
      <c r="J52" s="2" t="inlineStr">
        <is>
          <t>2 completed session(s); last: strength_lower_squat / Traditional</t>
        </is>
      </c>
      <c r="K52" s="2" t="inlineStr">
        <is>
          <t>Upper Push</t>
        </is>
      </c>
      <c r="L52" s="2" t="inlineStr">
        <is>
          <t>Compound + Paired Accessories</t>
        </is>
      </c>
      <c r="M52" s="2" t="n">
        <v>59.3</v>
      </c>
      <c r="N52" s="2" t="n">
        <v>24</v>
      </c>
      <c r="O52" s="2" t="inlineStr"/>
      <c r="P52" s="2" t="inlineStr">
        <is>
          <t>Incline Dumbbell Press: 4 × 5–7  RIR 2  rest 180 s
Parallel Bar Dip: 4 × 8–10  RIR 2  rest 120 s
Standing Cable Chest Press: 4 × 8–10  RIR 2  rest 120 s
SUPERSET A (4 rounds, rest 60 s after each round)
  A1 Pec Deck: 4 × 12–15  RIR 1
  A2 Machine Triceps Extension: 4 × 12–15  RIR 1
EZ-Bar Skull Crusher: 4 × 12–15  RIR 1  rest 60 s</t>
        </is>
      </c>
      <c r="Q52" s="2" t="inlineStr">
        <is>
          <t>Your muscle goal is why 3 accessory movements sit behind the main lifts at moderate reps.</t>
        </is>
      </c>
      <c r="R52" s="2" t="inlineStr">
        <is>
          <t>Session: Upper Push, variant paired, 6 exercises, 24 working sets, est. 59.3 min for a 60-minute request; primary Incline Dumbbell Press 4 × 5–7 RIR 2; 1 superset(s), device none, methods none, finisher none.
[goal] Goal build_muscle: ['Compound + Paired Accessories shape (muscle goal weights it up)', '3 accessory movements behind the main lift, 12 accessory sets in the 10–20 range'].
Within a rep of failure: Pec Deck, Machine Triceps Extension, EZ-Bar Skull Crusher.</t>
        </is>
      </c>
      <c r="S52" s="2" t="inlineStr">
        <is>
          <t>experience = intermediate → intended: match_programming_vocabulary_to_level → realized: intermediate pool: Parallel Bar Dip
goal = build_muscle → intended: hypertrophy_volume_and_accessories → realized: Compound + Paired Accessories shape (muscle goal weights it up); 3 accessory movements behind the main lift, 12 accessory sets in the 10–20 range
duration = 60 → intended: fill_the_requested_time_with_useful_work → realized: estimated 59.3 min for a 60-minute request
equipment = commercial_gym → intended: availability_only → realized: nothing (no claim made)
history = 2 completed Strength sessions → intended: rotate_shape_and_movements_keep_the_main_lift → realized: nothing (no claim made)</t>
        </is>
      </c>
      <c r="T52" s="2" t="inlineStr">
        <is>
          <t>no State</t>
        </is>
      </c>
      <c r="U52" s="2" t="inlineStr">
        <is>
          <t>You trained Lower Body: Squat last time, so MOOD's Pick rotates to Upper Push today.
Incline Dumbbell Press (4 × 5–7) leads as the main lift, then 2 strength lifts and 3 accessories, with part of it run as a superset.
24 working sets across 6 exercises, about 59 minutes.
Main work stops about 2 reps short of failure, accessories about 1 rep short of failure.
Intermediate difficulty: every movement is within the intermediate complexity and skill limits.</t>
        </is>
      </c>
      <c r="V52" s="2" t="n"/>
      <c r="W52" s="2" t="n"/>
    </row>
    <row r="53">
      <c r="A53" s="2" t="inlineStr">
        <is>
          <t>K. Sequential: same user, MOOD's Pick, no State (5 sessions)</t>
        </is>
      </c>
      <c r="B53" s="2" t="inlineStr">
        <is>
          <t>Session 4 (no State)</t>
        </is>
      </c>
      <c r="C53" s="2" t="inlineStr">
        <is>
          <t>seqB / 2026-11-16</t>
        </is>
      </c>
      <c r="D53" s="2" t="inlineStr">
        <is>
          <t>none</t>
        </is>
      </c>
      <c r="E53" s="2" t="inlineStr">
        <is>
          <t>intermediate</t>
        </is>
      </c>
      <c r="F53" s="2" t="inlineStr">
        <is>
          <t>Build muscle</t>
        </is>
      </c>
      <c r="G53" s="2" t="n">
        <v>60</v>
      </c>
      <c r="H53" s="2" t="inlineStr">
        <is>
          <t>MOOD's Pick</t>
        </is>
      </c>
      <c r="I53" s="2" t="inlineStr">
        <is>
          <t>none</t>
        </is>
      </c>
      <c r="J53" s="2" t="inlineStr">
        <is>
          <t>3 completed session(s); last: strength_upper_push / Compound + Paired Accessories</t>
        </is>
      </c>
      <c r="K53" s="2" t="inlineStr">
        <is>
          <t>Glutes + Legs</t>
        </is>
      </c>
      <c r="L53" s="2" t="inlineStr">
        <is>
          <t>Traditional</t>
        </is>
      </c>
      <c r="M53" s="2" t="n">
        <v>57.8</v>
      </c>
      <c r="N53" s="2" t="n">
        <v>20</v>
      </c>
      <c r="O53" s="2" t="inlineStr">
        <is>
          <t>rest_pause</t>
        </is>
      </c>
      <c r="P53" s="2" t="inlineStr">
        <is>
          <t>Barbell Hip Thrust: 4 × 5–7  RIR 2  rest 165 s
Trap-Bar Deadlift: 4 × 8–10  RIR 2  rest 120 s
Reverse Lunge: 4 × 8–10/side  RIR 2  rest 120 s
Cable Glute Kickback: 4 × 10–12/side · rest-pause on the final set  RIR 1  (On the last set, hit the reps, rest 15 s, then add as many clean reps as you can. Stop each set with about 1 rep left in the tank.)  rest 60 s
Leg Extension: 4 × 10–12  RIR 1  rest 60 s</t>
        </is>
      </c>
      <c r="Q53" s="2" t="inlineStr">
        <is>
          <t>As an intermediate lifter, rest-pause on the final set on Cable Glute Kickback is on the table. Your muscle goal is why 2 accessory movements sit behind the main lifts at moderate reps.</t>
        </is>
      </c>
      <c r="R53" s="2" t="inlineStr">
        <is>
          <t>Session: Glutes + Legs, variant traditional, 5 exercises, 20 working sets, est. 57.8 min for a 60-minute request; primary Barbell Hip Thrust 4 × 5–7 RIR 2; 0 superset(s), device none, methods ['rest-pause on the final set on Cable Glute Kickback'], finisher none.
[level] Intermediate: ['rest-pause on the final set on Cable Glute Kickback (intermediate and up)', 'intermediate pool: Trap-Bar Deadlift'].
[goal] Goal build_muscle: ['2 accessory movements behind the main lift, 8 accessory sets in the 10–20 range', 'rest-pause on the final set on Cable Glute Kickback'].
Within a rep of failure: Cable Glute Kickback, Leg Extension.
Demanding compounds (systemic 4+): Trap-Bar Deadlift.</t>
        </is>
      </c>
      <c r="S53" s="2" t="inlineStr">
        <is>
          <t>experience = intermediate → intended: match_programming_vocabulary_to_level → realized: rest-pause on the final set on Cable Glute Kickback (intermediate and up); intermediate pool: Trap-Bar Deadlift
goal = build_muscle → intended: hypertrophy_volume_and_accessories → realized: 2 accessory movements behind the main lift, 8 accessory sets in the 10–20 range; rest-pause on the final set on Cable Glute Kickback
duration = 60 → intended: fill_the_requested_time_with_useful_work → realized: trimmed to fit: finisher_dropped; estimated 57.8 min for a 60-minute request
equipment = commercial_gym → intended: availability_only → realized: nothing (no claim made)
history = 3 completed Strength sessions → intended: rotate_shape_and_movements_keep_the_main_lift → realized: nothing (no claim made)</t>
        </is>
      </c>
      <c r="T53" s="2" t="inlineStr">
        <is>
          <t>no State</t>
        </is>
      </c>
      <c r="U53" s="2" t="inlineStr">
        <is>
          <t>You trained Upper Push last time, so MOOD's Pick rotates to Glutes + Legs today.
Barbell Hip Thrust (4 × 5–7) leads as the main lift, then 2 strength lifts and 2 accessories.
20 working sets across 5 exercises, about 58 minutes.
Main work stops about 2 reps short of failure, accessories about 1 rep short of failure.
Intermediate difficulty: every movement is within the intermediate complexity and skill limits.</t>
        </is>
      </c>
      <c r="V53" s="2" t="n"/>
      <c r="W53" s="2" t="n"/>
    </row>
    <row r="54">
      <c r="A54" s="2" t="inlineStr">
        <is>
          <t>K. Sequential: same user, MOOD's Pick, no State (5 sessions)</t>
        </is>
      </c>
      <c r="B54" s="2" t="inlineStr">
        <is>
          <t>Session 5 (no State)</t>
        </is>
      </c>
      <c r="C54" s="2" t="inlineStr">
        <is>
          <t>seqB / 2026-11-18</t>
        </is>
      </c>
      <c r="D54" s="2" t="inlineStr">
        <is>
          <t>none</t>
        </is>
      </c>
      <c r="E54" s="2" t="inlineStr">
        <is>
          <t>intermediate</t>
        </is>
      </c>
      <c r="F54" s="2" t="inlineStr">
        <is>
          <t>Build muscle</t>
        </is>
      </c>
      <c r="G54" s="2" t="n">
        <v>60</v>
      </c>
      <c r="H54" s="2" t="inlineStr">
        <is>
          <t>MOOD's Pick</t>
        </is>
      </c>
      <c r="I54" s="2" t="inlineStr">
        <is>
          <t>none</t>
        </is>
      </c>
      <c r="J54" s="2" t="inlineStr">
        <is>
          <t>4 completed session(s); last: strength_glutes_legs / Traditional</t>
        </is>
      </c>
      <c r="K54" s="2" t="inlineStr">
        <is>
          <t>Upper Body</t>
        </is>
      </c>
      <c r="L54" s="2" t="inlineStr">
        <is>
          <t>Volume</t>
        </is>
      </c>
      <c r="M54" s="2" t="n">
        <v>53</v>
      </c>
      <c r="N54" s="2" t="n">
        <v>19</v>
      </c>
      <c r="O54" s="2" t="inlineStr"/>
      <c r="P54" s="2" t="inlineStr">
        <is>
          <t>Incline Dumbbell Press: 5 × 6–8  RIR 2  rest 150 s
Barbell Overhead Press: 4 × 10–12  RIR 2  rest 120 s
Lat Pulldown: 4 × 10–12  RIR 2  rest 120 s
SUPERSET A (3 rounds, rest 60 s after each round)
  A1 Machine Lateral Raise: 3 × 15–20  RIR 1
  A2 Dumbbell Pullover: 3 × 12–15  RIR 1</t>
        </is>
      </c>
      <c r="Q54" s="2" t="inlineStr">
        <is>
          <t>For muscle, the volume lives in the accessories: 2 movements at moderate reps behind Incline Dumbbell Press.</t>
        </is>
      </c>
      <c r="R54" s="2" t="inlineStr">
        <is>
          <t>Session: Upper Body, variant volume, 5 exercises, 19 working sets, est. 53.0 min for a 60-minute request; primary Incline Dumbbell Press 5 × 6–8 RIR 2; 1 superset(s), device none, methods none, finisher none.
[goal] Goal build_muscle: ['Volume shape (muscle goal weights it up)', '2 accessory movements behind the main lift, 6 accessory sets in the 10–20 range'].
Within a rep of failure: Machine Lateral Raise, Dumbbell Pullover.</t>
        </is>
      </c>
      <c r="S54" s="2" t="inlineStr">
        <is>
          <t>experience = intermediate → intended: match_programming_vocabulary_to_level → realized: intermediate pool: Barbell Overhead Press
goal = build_muscle → intended: hypertrophy_volume_and_accessories → realized: Volume shape (muscle goal weights it up); 2 accessory movements behind the main lift, 6 accessory sets in the 10–20 range
duration = 60 → intended: fill_the_requested_time_with_useful_work → realized: filled toward the requested time: primary_set_added, set_added; estimated 53.0 min for a 60-minute request
equipment = commercial_gym → intended: availability_only → realized: nothing (no claim made)
history = 4 completed Strength sessions → intended: rotate_shape_and_movements_keep_the_main_lift → realized: nothing (no claim made)</t>
        </is>
      </c>
      <c r="T54" s="2" t="inlineStr">
        <is>
          <t>no State</t>
        </is>
      </c>
      <c r="U54" s="2" t="inlineStr">
        <is>
          <t>You trained Glutes + Legs last time, so MOOD's Pick rotates to Upper Body today.
Incline Dumbbell Press (5 × 6–8) leads as the main lift, then 2 strength lifts and 2 accessories, with part of it run as a superset.
19 working sets across 5 exercises, about 53 minutes.
Main work stops about 2 reps short of failure, accessories about 1 rep short of failure.
Intermediate difficulty: every movement is within the intermediate complexity and skill limits.</t>
        </is>
      </c>
      <c r="V54" s="2" t="n"/>
      <c r="W54" s="2" t="n"/>
    </row>
    <row r="55">
      <c r="A55" s="2" t="inlineStr">
        <is>
          <t>L. Sequential: same user, Lower Body: Squat, Bored every session, advanced (4 sessions)</t>
        </is>
      </c>
      <c r="B55" s="2" t="inlineStr">
        <is>
          <t>Session 1 (bored)</t>
        </is>
      </c>
      <c r="C55" s="2" t="inlineStr">
        <is>
          <t>seqC / 2026-11-10</t>
        </is>
      </c>
      <c r="D55" s="2" t="inlineStr">
        <is>
          <t>bored</t>
        </is>
      </c>
      <c r="E55" s="2" t="inlineStr">
        <is>
          <t>advanced</t>
        </is>
      </c>
      <c r="F55" s="2" t="inlineStr">
        <is>
          <t>Build muscle</t>
        </is>
      </c>
      <c r="G55" s="2" t="n">
        <v>60</v>
      </c>
      <c r="H55" s="2" t="inlineStr">
        <is>
          <t>Lower Body: Squat</t>
        </is>
      </c>
      <c r="I55" s="2" t="inlineStr">
        <is>
          <t>none</t>
        </is>
      </c>
      <c r="J55" s="2" t="inlineStr">
        <is>
          <t>first session</t>
        </is>
      </c>
      <c r="K55" s="2" t="inlineStr">
        <is>
          <t>Lower Body: Squat</t>
        </is>
      </c>
      <c r="L55" s="2" t="inlineStr">
        <is>
          <t>Compound + Paired Accessories</t>
        </is>
      </c>
      <c r="M55" s="2" t="n">
        <v>54.5</v>
      </c>
      <c r="N55" s="2" t="n">
        <v>20</v>
      </c>
      <c r="O55" s="2" t="inlineStr"/>
      <c r="P55" s="2" t="inlineStr">
        <is>
          <t>Barbell Back Squat: 4 × 5–7  RIR 1  rest 180 s
Leg Press: 4 × 8–10  RIR 2  rest 120 s
Curtsy Lunge: 4 × 8–10/side  RIR 2  rest 120 s
SUPERSET A (4 rounds, rest 60 s after each round)
  A1 Sissy Squat: 4 × 12–15  RIR 1
  A2 Roman Chair / GHD Glute-Ham Raise: 4 × 12–15  RIR 1</t>
        </is>
      </c>
      <c r="Q55" s="2" t="inlineStr">
        <is>
          <t>You're bored, so the novelty is the sophisticated kind: 1 less-familiar movements and a paired shape. Your muscle goal is why 2 accessory movements sit behind the main lifts at moderate reps.</t>
        </is>
      </c>
      <c r="R55" s="2" t="inlineStr">
        <is>
          <t>Session: Lower Body: Squat, variant paired, 5 exercises, 20 working sets, est. 54.5 min for a 60-minute request; primary Barbell Back Squat 4 × 5–7 RIR 1; 1 superset(s), device none, methods none, finisher none.
[bored_adv] Bored advanced: realized ['structure', 'exercises']; methods []; complexity-3+ movements ['Barbell Back Squat', 'Curtsy Lunge', 'Sissy Squat', 'Roman Chair / GHD Glute-Ham Raise']; continuity False.
[goal] Goal build_muscle: ['Compound + Paired Accessories shape (muscle goal weights it up)', '2 accessory movements behind the main lift, 8 accessory sets in the 10–20 range'].
Coherence bored: PASS
Within a rep of failure: Barbell Back Squat, Sissy Squat, Roman Chair / GHD Glute-Ham Raise.
Demanding compounds (systemic 4+): Barbell Back Squat.</t>
        </is>
      </c>
      <c r="S55" s="2" t="inlineStr">
        <is>
          <t>state = bored (expression: new_exercises) → intended: refresh_the_experience → realized: Compound + Paired Accessories instead of Traditional; Bulgarian Split Squat → Curtsy Lunge
experience = advanced → intended: match_programming_vocabulary_to_level → realized: Barbell Back Squat runs to RIR 1 (advanced band position); higher-complexity movements kept in: Barbell Back Squat, Curtsy Lunge, Sissy Squat, Roman Chair / GHD Glute-Ham Raise
goal = build_muscle → intended: hypertrophy_volume_and_accessories → realized: Compound + Paired Accessories shape (muscle goal weights it up); 2 accessory movements behind the main lift, 8 accessory sets in the 10–20 range
duration = 60 → intended: fill_the_requested_time_with_useful_work → realized: estimated 54.5 min for a 60-minute request
equipment = commercial_gym → intended: availability_only → realized: nothing (no claim made)
history = first session → intended: rotate_shape_and_movements_keep_the_main_lift → realized: nothing (no claim made)</t>
        </is>
      </c>
      <c r="T55" s="2" t="inlineStr">
        <is>
          <t>bored: attempt 0 expression 'new_exercises' realized ['structure', 'exercises'] no-ops [] → satisfied</t>
        </is>
      </c>
      <c r="U55" s="2" t="inlineStr">
        <is>
          <t>Barbell Back Squat (4 × 5–7) leads as the main lift, then 2 strength lifts and 2 accessories, with part of it run as a superset.
20 working sets across 5 exercises, about 54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V55" s="2" t="n"/>
      <c r="W55" s="2" t="n"/>
    </row>
    <row r="56">
      <c r="A56" s="2" t="inlineStr">
        <is>
          <t>L. Sequential: same user, Lower Body: Squat, Bored every session, advanced (4 sessions)</t>
        </is>
      </c>
      <c r="B56" s="2" t="inlineStr">
        <is>
          <t>Session 2 (bored)</t>
        </is>
      </c>
      <c r="C56" s="2" t="inlineStr">
        <is>
          <t>seqC / 2026-11-12</t>
        </is>
      </c>
      <c r="D56" s="2" t="inlineStr">
        <is>
          <t>bored</t>
        </is>
      </c>
      <c r="E56" s="2" t="inlineStr">
        <is>
          <t>advanced</t>
        </is>
      </c>
      <c r="F56" s="2" t="inlineStr">
        <is>
          <t>Build muscle</t>
        </is>
      </c>
      <c r="G56" s="2" t="n">
        <v>60</v>
      </c>
      <c r="H56" s="2" t="inlineStr">
        <is>
          <t>Lower Body: Squat</t>
        </is>
      </c>
      <c r="I56" s="2" t="inlineStr">
        <is>
          <t>none</t>
        </is>
      </c>
      <c r="J56" s="2" t="inlineStr">
        <is>
          <t>1 completed session(s); last: strength_lower_squat / Compound + Paired Accessories</t>
        </is>
      </c>
      <c r="K56" s="2" t="inlineStr">
        <is>
          <t>Lower Body: Squat</t>
        </is>
      </c>
      <c r="L56" s="2" t="inlineStr">
        <is>
          <t>Heavy Primary</t>
        </is>
      </c>
      <c r="M56" s="2" t="n">
        <v>52.6</v>
      </c>
      <c r="N56" s="2" t="n">
        <v>17</v>
      </c>
      <c r="O56" s="2" t="inlineStr">
        <is>
          <t>one_and_half, rest_pause</t>
        </is>
      </c>
      <c r="P56" s="2" t="inlineStr">
        <is>
          <t>Barbell Back Squat: 5 × 4–6  RIR 1  rest 225 s
Leg Press: 4 × 8–10 · 1.5 reps  RIR 2  (Full rep, half rep from the stretched position, back to the top: that is one rep. Stop each set with about 2 reps left in the tank.)  rest 135 s
Reverse Nordic Curl: 4 × 12–15  RIR 1  rest 60 s
Roman Chair / GHD Glute-Ham Raise: 4 × 10–12 · rest-pause on the final set  RIR 1  (On the last set, hit the reps, rest 15 s, then add as many clean reps as you can. Stop each set with about 1 rep left in the tank.)  rest 60 s</t>
        </is>
      </c>
      <c r="Q56" s="2" t="inlineStr">
        <is>
          <t>You're bored, so the novelty is the sophisticated kind: 1.5 reps on Leg Press and 1 less-familiar movements, while Barbell Back Squat stays so your progression carries over. For muscle, the volume lives in the accessories: 2 movements at moderate reps behind Barbell Back Squat.</t>
        </is>
      </c>
      <c r="R56" s="2" t="inlineStr">
        <is>
          <t>Session: Lower Body: Squat, variant heavy_primary, 4 exercises, 17 working sets, est. 52.6 min for a 60-minute request; primary Barbell Back Squat 5 × 4–6 RIR 1; 0 superset(s), device none, methods ['1.5 reps on Leg Press', 'rest-pause on the final set on Roman Chair / GHD Glute-Ham Raise'], finisher none.
[bored_adv] Bored advanced: realized ['exercises', 'set_method']; methods [('1.5 reps', 'Leg Press'), ('rest-pause on the final set', 'Roman Chair / GHD Glute-Ham Raise')]; complexity-3+ movements ['Barbell Back Squat', 'Roman Chair / GHD Glute-Ham Raise']; continuity True.
[goal] Goal build_muscle: ['2 accessory movements behind the main lift, 8 accessory sets in the 10–20 range', '1.5 reps on Leg Press', 'rest-pause on the final set on Roman Chair / GHD Glute-Ham Raise'].
Coherence bored: PASS
Within a rep of failure: Barbell Back Squat, Reverse Nordic Curl, Roman Chair / GHD Glute-Ham Raise.
Demanding compounds (systemic 4+): Barbell Back Squat.</t>
        </is>
      </c>
      <c r="S56" s="2" t="inlineStr">
        <is>
          <t>state = bored (expression: new_structure) → intended: refresh_the_experience → realized: 1.5 reps on Leg Press; rest-pause on the final set on Roman Chair / GHD Glute-Ham Raise; Leg Extension → Reverse Nordic Curl
experience = advanced → intended: match_programming_vocabulary_to_level → realized: 1.5 reps on Leg Press; rest-pause on the final set on Roman Chair / GHD Glute-Ham Raise; Barbell Back Squat runs to RIR 1 (advanced band position); higher-complexity movements kept in: Barbell Back Squat, Roman Chair / GHD Glute-Ham Raise; Heavy Primary shape
goal = build_muscle → intended: hypertrophy_volume_and_accessories → realized: 2 accessory movements behind the main lift, 8 accessory sets in the 10–20 range; 1.5 reps on Leg Press; rest-pause on the final set on Roman Chair / GHD Glute-Ham Raise
duration = 60 → intended: fill_the_requested_time_with_useful_work → realized: filled toward the requested time: set_added; estimated 52.6 min for a 60-minute request
equipment = commercial_gym → intended: availability_only → realized: nothing (no claim made)
history = 1 completed Strength sessions → intended: rotate_shape_and_movements_keep_the_main_lift → realized: different shape from your last Lower Body: Squat (Compound + Paired Accessories then, Heavy Primary now); main lift continuity for progression: Barbell Back Squat, Leg Press; 1 movement not in your last Lower Body: Squat session; bored: expressed differently from last time (new_exercises then, new_structure now)</t>
        </is>
      </c>
      <c r="T56" s="2" t="inlineStr">
        <is>
          <t>bored: attempt 0 expression 'new_structure' realized ['set_method', 'set_method', 'exercises'] no-ops [] → satisfied</t>
        </is>
      </c>
      <c r="U56" s="2" t="inlineStr">
        <is>
          <t>Barbell Back Squat (5 × 4–6) leads as the main lift, then 1 strength lift and 2 accessories.
17 working sets across 4 exercises, about 53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V56" s="2" t="n"/>
      <c r="W56" s="2" t="n"/>
    </row>
    <row r="57">
      <c r="A57" s="2" t="inlineStr">
        <is>
          <t>L. Sequential: same user, Lower Body: Squat, Bored every session, advanced (4 sessions)</t>
        </is>
      </c>
      <c r="B57" s="2" t="inlineStr">
        <is>
          <t>Session 3 (bored)</t>
        </is>
      </c>
      <c r="C57" s="2" t="inlineStr">
        <is>
          <t>seqC / 2026-11-14</t>
        </is>
      </c>
      <c r="D57" s="2" t="inlineStr">
        <is>
          <t>bored</t>
        </is>
      </c>
      <c r="E57" s="2" t="inlineStr">
        <is>
          <t>advanced</t>
        </is>
      </c>
      <c r="F57" s="2" t="inlineStr">
        <is>
          <t>Build muscle</t>
        </is>
      </c>
      <c r="G57" s="2" t="n">
        <v>60</v>
      </c>
      <c r="H57" s="2" t="inlineStr">
        <is>
          <t>Lower Body: Squat</t>
        </is>
      </c>
      <c r="I57" s="2" t="inlineStr">
        <is>
          <t>none</t>
        </is>
      </c>
      <c r="J57" s="2" t="inlineStr">
        <is>
          <t>2 completed session(s); last: strength_lower_squat / Heavy Primary</t>
        </is>
      </c>
      <c r="K57" s="2" t="inlineStr">
        <is>
          <t>Lower Body: Squat</t>
        </is>
      </c>
      <c r="L57" s="2" t="inlineStr">
        <is>
          <t>Volume</t>
        </is>
      </c>
      <c r="M57" s="2" t="n">
        <v>58.6</v>
      </c>
      <c r="N57" s="2" t="n">
        <v>22</v>
      </c>
      <c r="O57" s="2" t="inlineStr">
        <is>
          <t>drop_set, slow_eccentric</t>
        </is>
      </c>
      <c r="P57" s="2" t="inlineStr">
        <is>
          <t>Barbell Back Squat: 4 × 5–7  RIR 2  rest 150 s
Leg Press: 4 × 10–12 · drop set on the final set  RIR 2  (On the last set, hit the reps, drop the load about 25% and go again to the same reps-in-reserve. Stop each set with about 2 reps left in the tank.)  rest 120 s
Front-Foot Elevated Split Squat: 4 × 10–12/side · 3 s eccentric  RIR 2  (Take 3 s to lower every rep, then lift at normal speed. Stop each set with about 2 reps left in the tank.)  rest 120 s
SUPERSET A (4 rounds, rest 60 s after each round)
  A1 Sissy Squat: 4 × 12–15  RIR 1
  A2 Roman Chair / GHD Glute-Ham Raise: 4 × 12–15  RIR 1
Frog Pump: 2 × 12–15  RIR 1  rest 45 s</t>
        </is>
      </c>
      <c r="Q57" s="2" t="inlineStr">
        <is>
          <t>You're bored, so the novelty is the sophisticated kind: drop set on the final set on Leg Press, 2 less-familiar movements and a volume shape, while Barbell Back Squat stays so your progression carries over. Your muscle goal is why 3 accessory movements sit behind the main lifts at moderate reps.</t>
        </is>
      </c>
      <c r="R57" s="2" t="inlineStr">
        <is>
          <t>Session: Lower Body: Squat, variant volume, 6 exercises, 22 working sets, est. 58.6 min for a 60-minute request; primary Barbell Back Squat 4 × 5–7 RIR 2; 1 superset(s), device none, methods ['drop set on the final set on Leg Press', '3 s eccentric on Front-Foot Elevated Split Squat'], finisher none.
[bored_adv] Bored advanced: realized ['structure', 'exercises', 'set_method']; methods [('drop set on the final set', 'Leg Press'), ('3 s eccentric', 'Front-Foot Elevated Split Squat')]; complexity-3+ movements ['Barbell Back Squat', 'Sissy Squat', 'Roman Chair / GHD Glute-Ham Raise']; continuity True.
[goal] Goal build_muscle: ['Volume shape (muscle goal weights it up)', '3 accessory movements behind the main lift, 10 accessory sets in the 10–20 range', 'drop set on the final set on Leg Press', '3 s eccentric on Front-Foot Elevated Split Squat'].
Coherence bored: PASS
Within a rep of failure: Sissy Squat, Roman Chair / GHD Glute-Ham Raise, Frog Pump.
Demanding compounds (systemic 4+): Barbell Back Squat.</t>
        </is>
      </c>
      <c r="S57" s="2" t="inlineStr">
        <is>
          <t>state = bored (expression: new_exercises) → intended: refresh_the_experience → realized: drop set on the final set on Leg Press; Volume instead of Traditional; Bulgarian Split Squat → Front-Foot Elevated Split Squat; Leg Extension → Sissy Squat
experience = advanced → intended: match_programming_vocabulary_to_level → realized: drop set on the final set on Leg Press; 3 s eccentric on Front-Foot Elevated Split Squat; higher-complexity movements kept in: Barbell Back Squat, Sissy Squat, Roman Chair / GHD Glute-Ham Raise
goal = build_muscle → intended: hypertrophy_volume_and_accessories → realized: Volume shape (muscle goal weights it up); 3 accessory movements behind the main lift, 10 accessory sets in the 10–20 range; drop set on the final set on Leg Press; 3 s eccentric on Front-Foot Elevated Split Squat
duration = 60 → intended: fill_the_requested_time_with_useful_work → realized: estimated 58.6 min for a 60-minute request
equipment = commercial_gym → intended: availability_only → realized: nothing (no claim made)
history = 2 completed Strength sessions → intended: rotate_shape_and_movements_keep_the_main_lift → realized: different shape from your last Lower Body: Squat (Heavy Primary then, Volume now); main lift continuity for progression: Barbell Back Squat, Leg Press; 3 movements not in your last Lower Body: Squat session; bored: expressed differently from last time (new_structure then, new_exercises now)</t>
        </is>
      </c>
      <c r="T57" s="2" t="inlineStr">
        <is>
          <t>bored: attempt 0 expression 'new_exercises' realized ['set_method', 'structure', 'exercises'] no-ops [] → satisfied</t>
        </is>
      </c>
      <c r="U57" s="2" t="inlineStr">
        <is>
          <t>Barbell Back Squat (4 × 5–7) leads as the main lift, then 2 strength lifts and 3 accessories, with part of it run as a superset.
22 working sets across 6 exercises, about 59 minutes.
Main work stops about 2 reps short of failure, accessories about 1 rep short of failure.
Advanced difficulty keeps the full exercise range open; today the best fits sit within it without needing the most complex options.
Your profile goal is to build muscle; today's Strength session is built from today's choices.</t>
        </is>
      </c>
      <c r="V57" s="2" t="n"/>
      <c r="W57" s="2" t="n"/>
    </row>
    <row r="58">
      <c r="A58" s="2" t="inlineStr">
        <is>
          <t>L. Sequential: same user, Lower Body: Squat, Bored every session, advanced (4 sessions)</t>
        </is>
      </c>
      <c r="B58" s="2" t="inlineStr">
        <is>
          <t>Session 4 (bored)</t>
        </is>
      </c>
      <c r="C58" s="2" t="inlineStr">
        <is>
          <t>seqC / 2026-11-16</t>
        </is>
      </c>
      <c r="D58" s="2" t="inlineStr">
        <is>
          <t>bored</t>
        </is>
      </c>
      <c r="E58" s="2" t="inlineStr">
        <is>
          <t>advanced</t>
        </is>
      </c>
      <c r="F58" s="2" t="inlineStr">
        <is>
          <t>Build muscle</t>
        </is>
      </c>
      <c r="G58" s="2" t="n">
        <v>60</v>
      </c>
      <c r="H58" s="2" t="inlineStr">
        <is>
          <t>Lower Body: Squat</t>
        </is>
      </c>
      <c r="I58" s="2" t="inlineStr">
        <is>
          <t>none</t>
        </is>
      </c>
      <c r="J58" s="2" t="inlineStr">
        <is>
          <t>3 completed session(s); last: strength_lower_squat / Volume</t>
        </is>
      </c>
      <c r="K58" s="2" t="inlineStr">
        <is>
          <t>Lower Body: Squat</t>
        </is>
      </c>
      <c r="L58" s="2" t="inlineStr">
        <is>
          <t>Compound + Paired Accessories</t>
        </is>
      </c>
      <c r="M58" s="2" t="n">
        <v>58.4</v>
      </c>
      <c r="N58" s="2" t="n">
        <v>20</v>
      </c>
      <c r="O58" s="2" t="inlineStr">
        <is>
          <t>drop_set, slow_eccentric</t>
        </is>
      </c>
      <c r="P58" s="2" t="inlineStr">
        <is>
          <t>Barbell Back Squat: 4 × 5–7  RIR 1  rest 180 s
Leg Press: 4 × 8–10 · drop set on the final set  RIR 2  (On the last set, hit the reps, drop the load about 25% and go again to the same reps-in-reserve. Stop each set with about 2 reps left in the tank.)  rest 120 s
Curtsy Lunge: 4 × 8–10/side · 3 s eccentric  RIR 2  (Take 3 s to lower every rep, then lift at normal speed. Stop each set with about 2 reps left in the tank.)  rest 120 s
Leg Extension: 4 × 12–15  RIR 1  rest 60 s
Roman Chair / GHD Glute-Ham Raise: 4 × 12–15  RIR 1  rest 60 s</t>
        </is>
      </c>
      <c r="Q58" s="2" t="inlineStr">
        <is>
          <t>You're bored, so the novelty is the sophisticated kind: drop set on the final set on Leg Press, 1 less-familiar movements and a paired shape, while Barbell Back Squat stays so your progression carries over. Your muscle goal is why 2 accessory movements sit behind the main lifts at moderate reps.</t>
        </is>
      </c>
      <c r="R58" s="2" t="inlineStr">
        <is>
          <t>Session: Lower Body: Squat, variant paired, 5 exercises, 20 working sets, est. 58.4 min for a 60-minute request; primary Barbell Back Squat 4 × 5–7 RIR 1; 0 superset(s), device none, methods ['drop set on the final set on Leg Press', '3 s eccentric on Curtsy Lunge'], finisher none.
[bored_adv] Bored advanced: realized ['structure', 'exercises', 'set_method']; methods [('drop set on the final set', 'Leg Press'), ('3 s eccentric', 'Curtsy Lunge')]; complexity-3+ movements ['Barbell Back Squat', 'Curtsy Lunge', 'Roman Chair / GHD Glute-Ham Raise']; continuity True.
[goal] Goal build_muscle: ['Compound + Paired Accessories shape (muscle goal weights it up)', '2 accessory movements behind the main lift, 8 accessory sets in the 10–20 range', 'drop set on the final set on Leg Press', '3 s eccentric on Curtsy Lunge'].
Coherence bored: PASS
Within a rep of failure: Barbell Back Squat, Leg Extension, Roman Chair / GHD Glute-Ham Raise.
Demanding compounds (systemic 4+): Barbell Back Squat.</t>
        </is>
      </c>
      <c r="S58" s="2" t="inlineStr">
        <is>
          <t>state = bored (expression: fresh_finish) → intended: refresh_the_experience → realized: drop set on the final set on Leg Press; Compound + Paired Accessories instead of Traditional; Lateral Step-Up → Curtsy Lunge
experience = advanced → intended: match_programming_vocabulary_to_level → realized: drop set on the final set on Leg Press; 3 s eccentric on Curtsy Lunge; Barbell Back Squat runs to RIR 1 (advanced band position); higher-complexity movements kept in: Barbell Back Squat, Curtsy Lunge, Roman Chair / GHD Glute-Ham Raise
goal = build_muscle → intended: hypertrophy_volume_and_accessories → realized: Compound + Paired Accessories shape (muscle goal weights it up); 2 accessory movements behind the main lift, 8 accessory sets in the 10–20 range; drop set on the final set on Leg Press; 3 s eccentric on Curtsy Lunge
duration = 60 → intended: fill_the_requested_time_with_useful_work → realized: estimated 58.4 min for a 60-minute request
equipment = commercial_gym → intended: availability_only → realized: nothing (no claim made)
history = 3 completed Strength sessions → intended: rotate_shape_and_movements_keep_the_main_lift → realized: different shape from your last Lower Body: Squat (Volume then, Compound + Paired Accessories now); main lift continuity for progression: Barbell Back Squat, Leg Press; 2 movements not in your last Lower Body: Squat session; bored: expressed differently from last time (new_exercises then, fresh_finish now)</t>
        </is>
      </c>
      <c r="T58" s="2" t="inlineStr">
        <is>
          <t>bored: attempt 0 expression 'fresh_finish' realized ['set_method', 'structure', 'exercises'] no-ops [] → satisfied</t>
        </is>
      </c>
      <c r="U58" s="2" t="inlineStr">
        <is>
          <t>Barbell Back Squat (4 × 5–7) leads as the main lift, then 2 strength lifts and 2 accessories.
20 working sets across 5 exercises, about 58 minutes.
Main work stops about 1 rep short of failure.
Advanced difficulty keeps the full exercise range open; today the best fits sit within it without needing the most complex options.
Your profile goal is to build muscle; today's Strength session is built from today's choices.</t>
        </is>
      </c>
      <c r="V58" s="2" t="n"/>
      <c r="W58" s="2" t="n"/>
    </row>
    <row r="59">
      <c r="A59" s="2" t="inlineStr">
        <is>
          <t>M. Sequential: same user, mixed States, Upper Push (6 sessions)</t>
        </is>
      </c>
      <c r="B59" s="2" t="inlineStr">
        <is>
          <t>Session 1 (no State)</t>
        </is>
      </c>
      <c r="C59" s="2" t="inlineStr">
        <is>
          <t>seqD / 2026-11-10</t>
        </is>
      </c>
      <c r="D59" s="2" t="inlineStr">
        <is>
          <t>none</t>
        </is>
      </c>
      <c r="E59" s="2" t="inlineStr">
        <is>
          <t>intermediate</t>
        </is>
      </c>
      <c r="F59" s="2" t="inlineStr">
        <is>
          <t>Build muscle</t>
        </is>
      </c>
      <c r="G59" s="2" t="n">
        <v>60</v>
      </c>
      <c r="H59" s="2" t="inlineStr">
        <is>
          <t>Upper Push</t>
        </is>
      </c>
      <c r="I59" s="2" t="inlineStr">
        <is>
          <t>none</t>
        </is>
      </c>
      <c r="J59" s="2" t="inlineStr">
        <is>
          <t>first session</t>
        </is>
      </c>
      <c r="K59" s="2" t="inlineStr">
        <is>
          <t>Upper Push</t>
        </is>
      </c>
      <c r="L59" s="2" t="inlineStr">
        <is>
          <t>Heavy Primary</t>
        </is>
      </c>
      <c r="M59" s="2" t="n">
        <v>58.7</v>
      </c>
      <c r="N59" s="2" t="n">
        <v>19</v>
      </c>
      <c r="O59" s="2" t="inlineStr"/>
      <c r="P59" s="2" t="inlineStr">
        <is>
          <t>Barbell Bench Press: 5 × 4–6  RIR 2  rest 225 s
Parallel Bar Dip: 4 × 8–10  RIR 2  rest 135 s
Plate-Loaded Incline Press: 4 × 8–10  RIR 2  rest 135 s
Cable Fly: 3 × 10–12  RIR 1  rest 60 s
Dumbbell Skull Crusher: 3 × 10–12  RIR 1  rest 60 s</t>
        </is>
      </c>
      <c r="Q59" s="2" t="inlineStr">
        <is>
          <t>For muscle, the volume lives in the accessories: 2 movements at moderate reps behind Barbell Bench Press.</t>
        </is>
      </c>
      <c r="R59" s="2" t="inlineStr">
        <is>
          <t>Session: Upper Push, variant heavy_primary, 5 exercises, 19 working sets, est. 58.7 min for a 60-minute request; primary Barbell Bench Press 5 × 4–6 RIR 2; 0 superset(s), device none, methods none, finisher none.
[goal] Goal build_muscle: ['2 accessory movements behind the main lift, 6 accessory sets in the 10–20 range'].
Within a rep of failure: Cable Fly, Dumbbell Skull Crusher.</t>
        </is>
      </c>
      <c r="S59" s="2" t="inlineStr">
        <is>
          <t>experience = intermediate → intended: match_programming_vocabulary_to_level → realized: intermediate pool: Barbell Bench Press, Parallel Bar Dip
goal = build_muscle → intended: hypertrophy_volume_and_accessories → realized: 2 accessory movements behind the main lift, 6 accessory sets in the 10–20 range
duration = 60 → intended: fill_the_requested_time_with_useful_work → realized: estimated 58.7 min for a 60-minute request
equipment = commercial_gym → intended: availability_only → realized: nothing (no claim made)
history = first session → intended: rotate_shape_and_movements_keep_the_main_lift → realized: nothing (no claim made)</t>
        </is>
      </c>
      <c r="T59" s="2" t="inlineStr">
        <is>
          <t>no State</t>
        </is>
      </c>
      <c r="U59" s="2" t="inlineStr">
        <is>
          <t>Barbell Bench Press (5 × 4–6) leads as the main lift, then 2 strength lifts and 2 accessories.
19 working sets across 5 exercises, about 59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59" s="2" t="n"/>
      <c r="W59" s="2" t="n"/>
    </row>
    <row r="60">
      <c r="A60" s="2" t="inlineStr">
        <is>
          <t>M. Sequential: same user, mixed States, Upper Push (6 sessions)</t>
        </is>
      </c>
      <c r="B60" s="2" t="inlineStr">
        <is>
          <t>Session 2 (stressed)</t>
        </is>
      </c>
      <c r="C60" s="2" t="inlineStr">
        <is>
          <t>seqD / 2026-11-12</t>
        </is>
      </c>
      <c r="D60" s="2" t="inlineStr">
        <is>
          <t>stressed</t>
        </is>
      </c>
      <c r="E60" s="2" t="inlineStr">
        <is>
          <t>intermediate</t>
        </is>
      </c>
      <c r="F60" s="2" t="inlineStr">
        <is>
          <t>Build muscle</t>
        </is>
      </c>
      <c r="G60" s="2" t="n">
        <v>60</v>
      </c>
      <c r="H60" s="2" t="inlineStr">
        <is>
          <t>Upper Push</t>
        </is>
      </c>
      <c r="I60" s="2" t="inlineStr">
        <is>
          <t>none</t>
        </is>
      </c>
      <c r="J60" s="2" t="inlineStr">
        <is>
          <t>1 completed session(s); last: strength_upper_push / Heavy Primary</t>
        </is>
      </c>
      <c r="K60" s="2" t="inlineStr">
        <is>
          <t>Upper Push</t>
        </is>
      </c>
      <c r="L60" s="2" t="inlineStr">
        <is>
          <t>Compound + Paired Accessories</t>
        </is>
      </c>
      <c r="M60" s="2" t="n">
        <v>50.1</v>
      </c>
      <c r="N60" s="2" t="n">
        <v>19</v>
      </c>
      <c r="O60" s="2" t="inlineStr"/>
      <c r="P60" s="2" t="inlineStr">
        <is>
          <t>Barbell Bench Press: 4 × 5–7  RIR 2  rest 180 s
Parallel Bar Dip: 4 × 8–10  RIR 2  rest 120 s
Smith Machine Incline Press: 3 × 10–12  RIR 2  rest 120 s
SUPERSET A (4 rounds, rest 60 s after each round)
  A1 Pec Deck: 4 × 12–15  RIR 1
  A2 Dumbbell Overhead Triceps Extension: 4 × 12–15  RIR 1</t>
        </is>
      </c>
      <c r="Q60" s="2" t="inlineStr">
        <is>
          <t>You're stressed today, so the session runs on autopilot: familiar movements and one thing fewer to set up. Your muscle goal is why 2 accessory movements sit behind the main lifts at moderate reps. Barbell Bench Press and Parallel Bar Dip stay so your progression carries over, the shape is different from last time and 3 movements are new.</t>
        </is>
      </c>
      <c r="R60" s="2" t="inlineStr">
        <is>
          <t>Session: Upper Push, variant paired, 5 exercises, 19 working sets, est. 50.1 min for a 60-minute request; primary Barbell Bench Press 4 × 5–7 RIR 2; 1 superset(s), device none, methods none, finisher none.
[stressed] Stressed realized ['slot_removed', 'exercises']; variant paired, pairs 1, device None, methods []; physical stimulus kept: False.
[goal] Goal build_muscle: ['Compound + Paired Accessories shape (muscle goal weights it up)', '2 accessory movements behind the main lift, 8 accessory sets in the 10–20 range'].
[history] History: ['different shape from your last Upper Push (Heavy Primary then, Compound + Paired Accessories now)', 'main lift continuity for progression: Barbell Bench Press, Parallel Bar Dip', '3 movements not in your last Upper Push session'].
Coherence stressed: PASS
Compound redundancy trimmed (family limit 1): smith_incline_press 4 × 8–10 → 3 × 10–12
Within a rep of failure: Pec Deck, Dumbbell Overhead Triceps Extension.</t>
        </is>
      </c>
      <c r="S60" s="2" t="inlineStr">
        <is>
          <t>state = stressed (expression: simpler) → intended: reduce_cognitive_load → realized: left out Machine Triceps Extension; Low-to-High Cable Fly → Pec Deck
experience = intermediate → intended: match_programming_vocabulary_to_level → realized: intermediate pool: Barbell Bench Press, Parallel Bar Dip
goal = build_muscle → intended: hypertrophy_volume_and_accessories → realized: Compound + Paired Accessories shape (muscle goal weights it up); 2 accessory movements behind the main lift, 8 accessory sets in the 10–20 range
duration = 60 → intended: fill_the_requested_time_with_useful_work → realized: estimated 50.1 min for a 60-minute request
equipment = commercial_gym → intended: availability_only → realized: nothing (no claim made)
history = 1 completed Strength sessions → intended: rotate_shape_and_movements_keep_the_main_lift → realized: different shape from your last Upper Push (Heavy Primary then, Compound + Paired Accessories now); main lift continuity for progression: Barbell Bench Press, Parallel Bar Dip; 3 movements not in your last Upper Push session</t>
        </is>
      </c>
      <c r="T60" s="2" t="inlineStr">
        <is>
          <t>stressed: attempt 0 expression 'simpler' realized ['slot_removed', 'exercises'] no-ops [] → satisfied</t>
        </is>
      </c>
      <c r="U60" s="2" t="inlineStr">
        <is>
          <t>Barbell Bench Press (4 × 5–7) leads as the main lift, then 2 strength lifts and 2 accessories, with part of it run as a superset.
19 working sets across 5 exercises, about 50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60" s="2" t="n"/>
      <c r="W60" s="2" t="n"/>
    </row>
    <row r="61">
      <c r="A61" s="2" t="inlineStr">
        <is>
          <t>M. Sequential: same user, mixed States, Upper Push (6 sessions)</t>
        </is>
      </c>
      <c r="B61" s="2" t="inlineStr">
        <is>
          <t>Session 3 (amped)</t>
        </is>
      </c>
      <c r="C61" s="2" t="inlineStr">
        <is>
          <t>seqD / 2026-11-14</t>
        </is>
      </c>
      <c r="D61" s="2" t="inlineStr">
        <is>
          <t>amped</t>
        </is>
      </c>
      <c r="E61" s="2" t="inlineStr">
        <is>
          <t>intermediate</t>
        </is>
      </c>
      <c r="F61" s="2" t="inlineStr">
        <is>
          <t>Build muscle</t>
        </is>
      </c>
      <c r="G61" s="2" t="n">
        <v>60</v>
      </c>
      <c r="H61" s="2" t="inlineStr">
        <is>
          <t>Upper Push</t>
        </is>
      </c>
      <c r="I61" s="2" t="inlineStr">
        <is>
          <t>none</t>
        </is>
      </c>
      <c r="J61" s="2" t="inlineStr">
        <is>
          <t>2 completed session(s); last: strength_upper_push / Compound + Paired Accessories</t>
        </is>
      </c>
      <c r="K61" s="2" t="inlineStr">
        <is>
          <t>Upper Push</t>
        </is>
      </c>
      <c r="L61" s="2" t="inlineStr">
        <is>
          <t>Volume</t>
        </is>
      </c>
      <c r="M61" s="2" t="n">
        <v>57</v>
      </c>
      <c r="N61" s="2" t="n">
        <v>20</v>
      </c>
      <c r="O61" s="2" t="inlineStr">
        <is>
          <t>pause</t>
        </is>
      </c>
      <c r="P61" s="2" t="inlineStr">
        <is>
          <t>Barbell Bench Press: 5 × 5–7 · paused reps  RIR 2  (Pause 2 s at the hardest point of every rep, then drive out of it. Stop each set with about 2 reps left in the tank.)  rest 150 s
Parallel Bar Dip: 4 × 10–12  RIR 2  rest 120 s
Plate-Loaded Incline Press: 4 × 10–12  RIR 2  rest 120 s
SUPERSET A (2 rounds, rest 60 s after each round)
  A1 Dumbbell Fly: 2 × 12–15  RIR 1
  A2 Machine Triceps Extension: 2 × 12–15  RIR 1
Cross-Body Cable Triceps Extension: 3 × 12–15/side  RIR 1  rest 60 s</t>
        </is>
      </c>
      <c r="Q61" s="2" t="inlineStr">
        <is>
          <t>You're amped today, so we're adding a working set to Barbell Bench Press. As an intermediate lifter, paused reps on Barbell Bench Press is on the table. For muscle, the volume lives in the accessories: 3 movements at moderate reps behind Barbell Bench Press.</t>
        </is>
      </c>
      <c r="R61" s="2" t="inlineStr">
        <is>
          <t>Session: Upper Push, variant volume, 6 exercises, 20 working sets, est. 57.0 min for a 60-minute request; primary Barbell Bench Press 5 × 5–7 RIR 2; 1 superset(s), device none, methods ['paused reps on Barbell Bench Press'], finisher none.
[amped] Amped realized ['volume']; near failure ['Dumbbell Fly', 'Cross-Body Cable Triceps Extension', 'Machine Triceps Extension']; total sets 20.
[level] Intermediate: ['paused reps on Barbell Bench Press (intermediate and up)', 'intermediate pool: Barbell Bench Press, Parallel Bar Dip'].
[goal] Goal build_muscle: ['Volume shape (muscle goal weights it up)', '3 accessory movements behind the main lift, 7 accessory sets in the 10–20 range'].
[history] History: ['different shape from your last Upper Push (Compound + Paired Accessories then, Volume now)', 'main lift continuity for progression: Barbell Bench Press, Parallel Bar Dip', '4 movements not in your last Upper Push session'].
Coherence amped: PASS
Within a rep of failure: Dumbbell Fly, Cross-Body Cable Triceps Extension, Machine Triceps Extension.</t>
        </is>
      </c>
      <c r="S61" s="2" t="inlineStr">
        <is>
          <t>state = amped (expression: extra_set_paired) → intended: use_readiness_productively → realized: Barbell Bench Press 4→5 sets
experience = intermediate → intended: match_programming_vocabulary_to_level → realized: paused reps on Barbell Bench Press (intermediate and up); intermediate pool: Barbell Bench Press, Parallel Bar Dip
goal = build_muscle → intended: hypertrophy_volume_and_accessories → realized: Volume shape (muscle goal weights it up); 3 accessory movements behind the main lift, 7 accessory sets in the 10–20 range
duration = 60 → intended: fill_the_requested_time_with_useful_work → realized: trimmed to fit: accessory_rest_shortened, set_removed; estimated 57.0 min for a 60-minute request
equipment = commercial_gym → intended: availability_only → realized: nothing (no claim made)
history = 2 completed Strength sessions → intended: rotate_shape_and_movements_keep_the_main_lift → realized: different shape from your last Upper Push (Compound + Paired Accessories then, Volume now); main lift continuity for progression: Barbell Bench Press, Parallel Bar Dip; 4 movements not in your last Upper Push session</t>
        </is>
      </c>
      <c r="T61" s="2" t="inlineStr">
        <is>
          <t>amped: attempt 0 expression 'extra_set_paired' realized ['volume'] no-ops [] → satisfied</t>
        </is>
      </c>
      <c r="U61" s="2" t="inlineStr">
        <is>
          <t>Barbell Bench Press (5 × 5–7 · paused reps) leads as the main lift, then 2 strength lifts and 3 accessories, with part of it run as a superset.
20 working sets across 6 exercises, about 57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61" s="2" t="n"/>
      <c r="W61" s="2" t="n"/>
    </row>
    <row r="62">
      <c r="A62" s="2" t="inlineStr">
        <is>
          <t>M. Sequential: same user, mixed States, Upper Push (6 sessions)</t>
        </is>
      </c>
      <c r="B62" s="2" t="inlineStr">
        <is>
          <t>Session 4 (low_energy)</t>
        </is>
      </c>
      <c r="C62" s="2" t="inlineStr">
        <is>
          <t>seqD / 2026-11-16</t>
        </is>
      </c>
      <c r="D62" s="2" t="inlineStr">
        <is>
          <t>low_energy</t>
        </is>
      </c>
      <c r="E62" s="2" t="inlineStr">
        <is>
          <t>intermediate</t>
        </is>
      </c>
      <c r="F62" s="2" t="inlineStr">
        <is>
          <t>Build muscle</t>
        </is>
      </c>
      <c r="G62" s="2" t="n">
        <v>60</v>
      </c>
      <c r="H62" s="2" t="inlineStr">
        <is>
          <t>Upper Push</t>
        </is>
      </c>
      <c r="I62" s="2" t="inlineStr">
        <is>
          <t>none</t>
        </is>
      </c>
      <c r="J62" s="2" t="inlineStr">
        <is>
          <t>3 completed session(s); last: strength_upper_push / Volume</t>
        </is>
      </c>
      <c r="K62" s="2" t="inlineStr">
        <is>
          <t>Upper Push</t>
        </is>
      </c>
      <c r="L62" s="2" t="inlineStr">
        <is>
          <t>Traditional</t>
        </is>
      </c>
      <c r="M62" s="2" t="n">
        <v>49</v>
      </c>
      <c r="N62" s="2" t="n">
        <v>18</v>
      </c>
      <c r="O62" s="2" t="inlineStr">
        <is>
          <t>slow_eccentric</t>
        </is>
      </c>
      <c r="P62" s="2" t="inlineStr">
        <is>
          <t>Barbell Bench Press: 4 × 5–7  RIR 3  (Stop each set with about 3 reps left in the tank.)  rest 165 s
Parallel Bar Dip: 4 × 8–10 · 3 s eccentric  RIR 3  (Take 3 s to lower every rep, then lift at normal speed. Stop each set with about 3 reps left in the tank.)  rest 120 s
Smith Machine Incline Press: 4 × 8–10  RIR 3  (Stop each set with about 3 reps left in the tank.)  rest 120 s
SUPERSET A (3 rounds, rest 60 s after each round)
  A1 Cable Fly: 3 × 10–12  RIR 2
  A2 Dumbbell Skull Crusher: 3 × 10–12  RIR 2</t>
        </is>
      </c>
      <c r="Q62" s="2" t="inlineStr">
        <is>
          <t>You're low on energy today, so we're keeping you further from failure and slowing the eccentric on Parallel Bar Dip instead of adding load. As an intermediate lifter, 3 s eccentric on Parallel Bar Dip is on the table. For muscle, the volume lives in the accessories: 2 movements at moderate reps behind Barbell Bench Press.</t>
        </is>
      </c>
      <c r="R62" s="2" t="inlineStr">
        <is>
          <t>Session: Upper Push, variant traditional, 5 exercises, 18 working sets, est. 49.0 min for a 60-minute request; primary Barbell Bench Press 4 × 5–7 RIR 3; 1 superset(s), device none, methods ['3 s eccentric on Parallel Bar Dip'], finisher none.
[le] Low Energy realized ['rir']; total sets 18, avg RIR raised, near failure [].
[level] Intermediate: ['3 s eccentric on Parallel Bar Dip (intermediate and up)', 'intermediate pool: Barbell Bench Press, Parallel Bar Dip'].
[goal] Goal build_muscle: ['2 accessory movements behind the main lift, 6 accessory sets in the 10–20 range', '3 s eccentric on Parallel Bar Dip'].
[history] History: ['different shape from your last Upper Push (Volume then, Traditional now)', 'main lift continuity for progression: Barbell Bench Press, Parallel Bar Dip', '3 movements not in your last Upper Push session'].
Coherence low_energy: PASS; before repairs: ['total sets 23 above the Low Energy budget 18']
Coherence repairs: low_energy: trim_accessory_sets (Single-Arm Cable Triceps Extension 3→2 sets, Dumbbell Skull Crusher 4→3 sets, Cable Fly 4→3 sets); low_energy: remove_optional_accessory (Single-Arm Cable Triceps Extension left out)</t>
        </is>
      </c>
      <c r="S62" s="2" t="inlineStr">
        <is>
          <t>state = low_energy (expression: cost_down) → intended: reduce_training_cost → realized: Barbell Bench Press RIR 2→3; Parallel Bar Dip RIR 2→3; Smith Machine Incline Press RIR 2→3; Cable Fly RIR 1→2; Dumbbell Skull Crusher RIR 1→2; 3 s eccentric on Parallel Bar Dip
experience = intermediate → intended: match_programming_vocabulary_to_level → realized: 3 s eccentric on Parallel Bar Dip (intermediate and up); intermediate pool: Barbell Bench Press, Parallel Bar Dip
goal = build_muscle → intended: hypertrophy_volume_and_accessories → realized: 2 accessory movements behind the main lift, 6 accessory sets in the 10–20 range; 3 s eccentric on Parallel Bar Dip
duration = 60 → intended: fill_the_requested_time_with_useful_work → realized: estimated 49.0 min for a 60-minute request
equipment = commercial_gym → intended: availability_only → realized: nothing (no claim made)
history = 3 completed Strength sessions → intended: rotate_shape_and_movements_keep_the_main_lift → realized: different shape from your last Upper Push (Volume then, Traditional now); main lift continuity for progression: Barbell Bench Press, Parallel Bar Dip; 3 movements not in your last Upper Push session</t>
        </is>
      </c>
      <c r="T62" s="2" t="inlineStr">
        <is>
          <t>low_energy: attempt 0 expression 'cost_down' realized ['rir', 'set_method'] no-ops [] → satisfied</t>
        </is>
      </c>
      <c r="U62" s="2" t="inlineStr">
        <is>
          <t>Barbell Bench Press (4 × 5–7) leads as the main lift, then 2 strength lifts and 2 accessories, with part of it run as a superset.
18 working sets across 5 exercises, about 49 minutes.
Main work stops about 3 reps short of failure, accessories about 2 reps short of failure.
Intermediate difficulty: every movement is within the intermediate complexity and skill limits.
Your profile goal is to build muscle; today's Strength session is built from today's choices.</t>
        </is>
      </c>
      <c r="V62" s="2" t="n"/>
      <c r="W62" s="2" t="n"/>
    </row>
    <row r="63">
      <c r="A63" s="2" t="inlineStr">
        <is>
          <t>M. Sequential: same user, mixed States, Upper Push (6 sessions)</t>
        </is>
      </c>
      <c r="B63" s="2" t="inlineStr">
        <is>
          <t>Session 5 (bored)</t>
        </is>
      </c>
      <c r="C63" s="2" t="inlineStr">
        <is>
          <t>seqD / 2026-11-18</t>
        </is>
      </c>
      <c r="D63" s="2" t="inlineStr">
        <is>
          <t>bored</t>
        </is>
      </c>
      <c r="E63" s="2" t="inlineStr">
        <is>
          <t>intermediate</t>
        </is>
      </c>
      <c r="F63" s="2" t="inlineStr">
        <is>
          <t>Build muscle</t>
        </is>
      </c>
      <c r="G63" s="2" t="n">
        <v>60</v>
      </c>
      <c r="H63" s="2" t="inlineStr">
        <is>
          <t>Upper Push</t>
        </is>
      </c>
      <c r="I63" s="2" t="inlineStr">
        <is>
          <t>none</t>
        </is>
      </c>
      <c r="J63" s="2" t="inlineStr">
        <is>
          <t>4 completed session(s); last: strength_upper_push / Traditional</t>
        </is>
      </c>
      <c r="K63" s="2" t="inlineStr">
        <is>
          <t>Upper Push</t>
        </is>
      </c>
      <c r="L63" s="2" t="inlineStr">
        <is>
          <t>Top Set + Back-off</t>
        </is>
      </c>
      <c r="M63" s="2" t="n">
        <v>59.8</v>
      </c>
      <c r="N63" s="2" t="n">
        <v>21</v>
      </c>
      <c r="O63" s="2" t="inlineStr">
        <is>
          <t>one_and_half</t>
        </is>
      </c>
      <c r="P63" s="2" t="inlineStr">
        <is>
          <t>Barbell Bench Press: 4 sets: 4/7/7/7  RIR 2  (Top set heavy, then back off 10–15% for the remaining sets. Stop each set with about 2 reps left in the tank.)  rest 225 s
Parallel Bar Dip: 4 × 8–10  RIR 2  rest 135 s
Plate-Loaded Incline Press: 4 × 8–10 · 1.5 reps  RIR 2  (Full rep, half rep from the stretched position, back to the top: that is one rep. Stop each set with about 2 reps left in the tank.)  rest 135 s
SUPERSET A (3 rounds, rest 60 s after each round)
  A1 EZ-Bar Skull Crusher: 3 × 10–12  RIR 1
  A2 Low-to-High Cable Fly: 3 × 10–12  RIR 1
Single-Arm Cable Triceps Extension: 3 × 10–12/side  RIR 1  rest 60 s</t>
        </is>
      </c>
      <c r="Q63" s="2" t="inlineStr">
        <is>
          <t>You're bored today, so we're changing the feel with 1.5 reps on the Plate-Loaded Incline Press. As an intermediate lifter, 1.5 reps on Plate-Loaded Incline Press is on the table. For muscle, the volume lives in the accessories: 3 movements at moderate reps behind Barbell Bench Press.</t>
        </is>
      </c>
      <c r="R63" s="2" t="inlineStr">
        <is>
          <t>Session: Upper Push, variant top_backoff, 6 exercises, 21 working sets, est. 59.8 min for a 60-minute request; primary Barbell Bench Press 4 × 5–7 RIR 2; 1 superset(s), device none, methods ['1.5 reps on Plate-Loaded Incline Press'], finisher none.
[bored] Bored realized ['set_method']; novel movements ['Low-to-High Cable Fly', 'Single-Arm Cable Triceps Extension'].
[level] Intermediate: ['Top Set + Back-off (intermediate and up)', '1.5 reps on Plate-Loaded Incline Press (intermediate and up)', 'intermediate pool: Barbell Bench Press, Parallel Bar Dip'].
[goal] Goal build_muscle: ['3 accessory movements behind the main lift, 9 accessory sets in the 10–20 range', '1.5 reps on Plate-Loaded Incline Press'].
[history] History: ['different shape from your last Upper Push (Traditional then, Top Set + Back-off now)', 'main lift continuity for progression: Barbell Bench Press, Parallel Bar Dip', '4 movements not in your last Upper Push session'].
Coherence bored: PASS
Within a rep of failure: Low-to-High Cable Fly, EZ-Bar Skull Crusher, Single-Arm Cable Triceps Extension.</t>
        </is>
      </c>
      <c r="S63" s="2" t="inlineStr">
        <is>
          <t>state = bored (expression: new_structure) → intended: refresh_the_experience → realized: 1.5 reps on Plate-Loaded Incline Press
experience = intermediate → intended: match_programming_vocabulary_to_level → realized: Top Set + Back-off (intermediate and up); 1.5 reps on Plate-Loaded Incline Press (intermediate and up); intermediate pool: Barbell Bench Press, Parallel Bar Dip
goal = build_muscle → intended: hypertrophy_volume_and_accessories → realized: 3 accessory movements behind the main lift, 9 accessory sets in the 10–20 range; 1.5 reps on Plate-Loaded Incline Press
duration = 60 → intended: fill_the_requested_time_with_useful_work → realized: estimated 59.8 min for a 60-minute request
equipment = commercial_gym → intended: availability_only → realized: nothing (no claim made)
history = 4 completed Strength sessions → intended: rotate_shape_and_movements_keep_the_main_lift → realized: different shape from your last Upper Push (Traditional then, Top Set + Back-off now); main lift continuity for progression: Barbell Bench Press, Parallel Bar Dip; 4 movements not in your last Upper Push session</t>
        </is>
      </c>
      <c r="T63" s="2" t="inlineStr">
        <is>
          <t>bored: attempt 0 expression 'new_structure' realized ['set_method'] no-ops [] → satisfied</t>
        </is>
      </c>
      <c r="U63" s="2" t="inlineStr">
        <is>
          <t>Barbell Bench Press (4 sets: 4/7/7/7) leads as the main lift, then 2 strength lifts and 3 accessories, with part of it run as a superset.
21 working sets across 6 exercises, about 60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63" s="2" t="n"/>
      <c r="W63" s="2" t="n"/>
    </row>
    <row r="64">
      <c r="A64" s="2" t="inlineStr">
        <is>
          <t>M. Sequential: same user, mixed States, Upper Push (6 sessions)</t>
        </is>
      </c>
      <c r="B64" s="2" t="inlineStr">
        <is>
          <t>Session 6 (irritated)</t>
        </is>
      </c>
      <c r="C64" s="2" t="inlineStr">
        <is>
          <t>seqD / 2026-11-20</t>
        </is>
      </c>
      <c r="D64" s="2" t="inlineStr">
        <is>
          <t>irritated</t>
        </is>
      </c>
      <c r="E64" s="2" t="inlineStr">
        <is>
          <t>intermediate</t>
        </is>
      </c>
      <c r="F64" s="2" t="inlineStr">
        <is>
          <t>Build muscle</t>
        </is>
      </c>
      <c r="G64" s="2" t="n">
        <v>60</v>
      </c>
      <c r="H64" s="2" t="inlineStr">
        <is>
          <t>Upper Push</t>
        </is>
      </c>
      <c r="I64" s="2" t="inlineStr">
        <is>
          <t>none</t>
        </is>
      </c>
      <c r="J64" s="2" t="inlineStr">
        <is>
          <t>5 completed session(s); last: strength_upper_push / Top Set + Back-off</t>
        </is>
      </c>
      <c r="K64" s="2" t="inlineStr">
        <is>
          <t>Upper Push</t>
        </is>
      </c>
      <c r="L64" s="2" t="inlineStr">
        <is>
          <t>Heavy Primary</t>
        </is>
      </c>
      <c r="M64" s="2" t="n">
        <v>57.5</v>
      </c>
      <c r="N64" s="2" t="n">
        <v>17</v>
      </c>
      <c r="O64" s="2" t="inlineStr"/>
      <c r="P64" s="2" t="inlineStr">
        <is>
          <t>Barbell Bench Press: 5 × 4–6  RIR 2  (Move the bar with intent: controlled down, drive up as fast as it will go. Stop each set with about 2 reps left in the tank.)  rest 240 s
Parallel Bar Dip: 4 × 8–10  RIR 2  rest 150 s
Smith Machine Incline Press: 4 × 8–10  RIR 2  rest 150 s
Pec Deck: 2 × 10–12  RIR 1  rest 45 s
Cable Triceps Pressdown: 2 × 10–12  RIR 1  rest 45 s</t>
        </is>
      </c>
      <c r="Q64" s="2" t="inlineStr">
        <is>
          <t>You're irritated today, so we're building the session around heavy, simple compound work, driving every rep of Barbell Bench Press with intent and giving the heavy work full rest so it stays heavy. Your muscle goal is why 2 accessory movements sit behind the main lifts at moderate reps. Barbell Bench Press and Parallel Bar Dip stay so your progression carries over, the shape is different from last time and 3 movements are new.</t>
        </is>
      </c>
      <c r="R64" s="2" t="inlineStr">
        <is>
          <t>Session: Upper Push, variant heavy_primary, 5 exercises, 17 working sets, est. 57.5 min for a 60-minute request; primary Barbell Bench Press 5 × 4–6 RIR 2; 0 superset(s), device none, methods none, finisher none.
[irr] Irritated realized ['structure', 'rest', 'tempo']; variant heavy_primary; finisher False.
[goal] Goal build_muscle: ['2 accessory movements behind the main lift, 4 accessory sets in the 10–20 range'].
[history] History: ['different shape from your last Upper Push (Top Set + Back-off then, Heavy Primary now)', 'main lift continuity for progression: Barbell Bench Press, Parallel Bar Dip', '3 movements not in your last Upper Push session'].
Coherence irritated: PASS
Within a rep of failure: Pec Deck, Cable Triceps Pressdown.</t>
        </is>
      </c>
      <c r="S64" s="2" t="inlineStr">
        <is>
          <t>state = irritated (expression: heavy_primary) → intended: direct_physical_cathartic_work → realized: Barbell Bench Press rest 225→240 s; Parallel Bar Dip rest 135→150 s; Smith Machine Incline Press rest 135→150 s; explosive intent on Barbell Bench Press; Heavy Primary instead of Top Set + Back-off
experience = intermediate → intended: match_programming_vocabulary_to_level → realized: intermediate pool: Barbell Bench Press, Parallel Bar Dip
goal = build_muscle → intended: hypertrophy_volume_and_accessories → realized: 2 accessory movements behind the main lift, 4 accessory sets in the 10–20 range
duration = 60 → intended: fill_the_requested_time_with_useful_work → realized: trimmed to fit: accessory_rest_shortened, set_removed; estimated 57.5 min for a 60-minute request
equipment = commercial_gym → intended: availability_only → realized: nothing (no claim made)
history = 5 completed Strength sessions → intended: rotate_shape_and_movements_keep_the_main_lift → realized: different shape from your last Upper Push (Top Set + Back-off then, Heavy Primary now); main lift continuity for progression: Barbell Bench Press, Parallel Bar Dip; 3 movements not in your last Upper Push session</t>
        </is>
      </c>
      <c r="T64" s="2" t="inlineStr">
        <is>
          <t>irritated: attempt 0 expression 'heavy_primary' realized ['rest', 'tempo', 'structure'] no-ops ['state_reps_no_effect'] → satisfied</t>
        </is>
      </c>
      <c r="U64" s="2" t="inlineStr">
        <is>
          <t>Barbell Bench Press (5 × 4–6) leads as the main lift, then 2 strength lifts and 2 accessories.
17 working sets across 5 exercises, about 58 minutes.
Main work stops about 2 reps short of failure, accessories about 1 rep short of failure.
Intermediate difficulty: every movement is within the intermediate complexity and skill limits.
Your profile goal is to build muscle; today's Strength session is built from today's choices.</t>
        </is>
      </c>
      <c r="V64" s="2" t="n"/>
      <c r="W64"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6" customWidth="1" min="3" max="3"/>
    <col width="12" customWidth="1" min="4" max="4"/>
    <col width="20" customWidth="1" min="5" max="5"/>
    <col width="9" customWidth="1" min="6" max="6"/>
    <col width="22" customWidth="1" min="7" max="7"/>
    <col width="12" customWidth="1" min="8" max="8"/>
    <col width="18" customWidth="1" min="9" max="9"/>
    <col width="22" customWidth="1" min="10" max="10"/>
    <col width="8" customWidth="1" min="11" max="11"/>
    <col width="6" customWidth="1" min="12" max="12"/>
    <col width="16" customWidth="1" min="13" max="13"/>
    <col width="60" customWidth="1" min="14" max="14"/>
    <col width="60" customWidth="1" min="15" max="15"/>
    <col width="70" customWidth="1" min="16" max="16"/>
    <col width="70" customWidth="1" min="17" max="17"/>
    <col width="40" customWidth="1" min="18" max="18"/>
    <col width="10" customWidth="1" min="19" max="19"/>
    <col width="40" customWidth="1" min="20" max="20"/>
  </cols>
  <sheetData>
    <row r="1">
      <c r="A1" s="1" t="inlineStr">
        <is>
          <t>#</t>
        </is>
      </c>
      <c r="B1" s="1" t="inlineStr">
        <is>
          <t>Case</t>
        </is>
      </c>
      <c r="C1" s="1" t="inlineStr">
        <is>
          <t>State(s)</t>
        </is>
      </c>
      <c r="D1" s="1" t="inlineStr">
        <is>
          <t>Level</t>
        </is>
      </c>
      <c r="E1" s="1" t="inlineStr">
        <is>
          <t>Goal</t>
        </is>
      </c>
      <c r="F1" s="1" t="inlineStr">
        <is>
          <t>Duration</t>
        </is>
      </c>
      <c r="G1" s="1" t="inlineStr">
        <is>
          <t>Target / archetype</t>
        </is>
      </c>
      <c r="H1" s="1" t="inlineStr">
        <is>
          <t>Soreness</t>
        </is>
      </c>
      <c r="I1" s="1" t="inlineStr">
        <is>
          <t>Archetype built</t>
        </is>
      </c>
      <c r="J1" s="1" t="inlineStr">
        <is>
          <t>Variant</t>
        </is>
      </c>
      <c r="K1" s="1" t="inlineStr">
        <is>
          <t>Est. min</t>
        </is>
      </c>
      <c r="L1" s="1" t="inlineStr">
        <is>
          <t>Sets</t>
        </is>
      </c>
      <c r="M1" s="1" t="inlineStr">
        <is>
          <t>Set methods</t>
        </is>
      </c>
      <c r="N1" s="1" t="inlineStr">
        <is>
          <t>Workout</t>
        </is>
      </c>
      <c r="O1" s="1" t="inlineStr">
        <is>
          <t>BUILT FOR TODAY (consumer)</t>
        </is>
      </c>
      <c r="P1" s="1" t="inlineStr">
        <is>
          <t>WHY THIS FITS TODAY (trainer reasoning)</t>
        </is>
      </c>
      <c r="Q1" s="1" t="inlineStr">
        <is>
          <t>REALIZED PERSONALIZATION</t>
        </is>
      </c>
      <c r="R1" s="1" t="inlineStr">
        <is>
          <t>Coherence</t>
        </is>
      </c>
      <c r="S1" s="1" t="inlineStr">
        <is>
          <t>Rating (1-5)</t>
        </is>
      </c>
      <c r="T1" s="1" t="inlineStr">
        <is>
          <t>Notes</t>
        </is>
      </c>
    </row>
    <row r="2">
      <c r="A2" s="2" t="n">
        <v>1</v>
      </c>
      <c r="B2" s="2" t="inlineStr">
        <is>
          <t>Founder test 1: 60 · Low Energy · beginner · build muscle · Upper Pull</t>
        </is>
      </c>
      <c r="C2" s="2" t="inlineStr">
        <is>
          <t>low_energy</t>
        </is>
      </c>
      <c r="D2" s="2" t="inlineStr">
        <is>
          <t>beginner</t>
        </is>
      </c>
      <c r="E2" s="2" t="inlineStr">
        <is>
          <t>Build muscle</t>
        </is>
      </c>
      <c r="F2" s="2" t="n">
        <v>60</v>
      </c>
      <c r="G2" s="2" t="inlineStr">
        <is>
          <t>Upper Pull</t>
        </is>
      </c>
      <c r="H2" s="2" t="inlineStr">
        <is>
          <t>none</t>
        </is>
      </c>
      <c r="I2" s="2" t="inlineStr">
        <is>
          <t>Upper Pull</t>
        </is>
      </c>
      <c r="J2" s="2" t="inlineStr">
        <is>
          <t>Volume</t>
        </is>
      </c>
      <c r="K2" s="2" t="n">
        <v>48.4</v>
      </c>
      <c r="L2" s="2" t="n">
        <v>16</v>
      </c>
      <c r="M2" s="2" t="inlineStr"/>
      <c r="N2" s="2" t="inlineStr">
        <is>
          <t>Chest-Supported Machine Row: 4 × 8–10  RIR 3  (Stop each set with about 3 reps left in the tank.)  rest 135 s
Neutral-Grip Lat Pulldown: 4 × 10–12  RIR 2  rest 120 s
Assisted Pull-Up Machine: 4 × 10–12  RIR 2  rest 120 s
Reverse Pec Deck: 2 × 15–20  RIR 2  rest 60 s
EZ-Bar Preacher Curl: 2 × 15–20  RIR 2  rest 60 s</t>
        </is>
      </c>
      <c r="O2" s="2" t="inlineStr">
        <is>
          <t>You're low on energy, so today stays on stable, approachable movements at a comfortable effort: leaning into stable, low-friction movements and leaving out the higher-cost accessories. As a newer lifter, you get approachable movements and two reps in reserve on the main work; the progress comes from adding load, not from grinding. Your muscle goal is why 2 accessory movements sit behind the main lifts at moderate reps.</t>
        </is>
      </c>
      <c r="P2" s="2" t="inlineStr">
        <is>
          <t>Session: Upper Pull, variant volume, 5 exercises, 16 working sets, est. 48.4 min for a 60-minute request; primary Chest-Supported Machine Row 4 × 8–10 RIR 3; 0 superset(s), device none, methods none, finisher none.
[le_beginner] Beginner Low Energy: ['slot_removed', 'complexity_or_systemic_cap', 'exercises']; supported movements 5/5; total sets 16.
[level] Beginner: ['beginner bands: every lift keeps 2+ reps in reserve, no exercise above 4 sets', 'beginner-rated, low-complexity movements only', 'no advanced set methods'].
[goal] Goal build_muscle: ['Volume shape (muscle goal weights it up)', '2 accessory movements behind the main lift, 4 accessory sets in the 10–20 range'].
Coherence low_energy: PASS; before repairs: ['total sets 18 above the Low Energy budget 16']
Coherence repairs: low_energy: trim_accessory_sets (EZ-Bar Preacher Curl 3→2 sets, Reverse Pec Deck 3→2 sets)</t>
        </is>
      </c>
      <c r="Q2" s="2" t="inlineStr">
        <is>
          <t>state = low_energy (expression: simplify) → intended: reduce_training_cost → realized: left out Machine Preacher Curl; Dumbbell Pullover out (complexity / systemic cost); EZ-Bar Curl → EZ-Bar Preacher Curl
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Volume shape (muscle goal weights it up); 2 accessory movements behind the main lift, 4 accessory sets in the 10–20 range
duration = 60 → intended: fill_the_requested_time_with_useful_work → realized: estimated 48.4 min for a 60-minute request
equipment = commercial_gym → intended: availability_only → realized: nothing (no claim made)
history = first session → intended: rotate_shape_and_movements_keep_the_main_lift → realized: nothing (no claim made)</t>
        </is>
      </c>
      <c r="R2" s="2" t="inlineStr">
        <is>
          <t>Coherence low_energy: PASS; before repairs: ['total sets 18 above the Low Energy budget 16']
Coherence repairs: low_energy: trim_accessory_sets (EZ-Bar Preacher Curl 3→2 sets, Reverse Pec Deck 3→2 sets)</t>
        </is>
      </c>
      <c r="S2" s="2" t="n"/>
      <c r="T2" s="2" t="n"/>
    </row>
    <row r="3">
      <c r="A3" s="2" t="n">
        <v>2</v>
      </c>
      <c r="B3" s="2" t="inlineStr">
        <is>
          <t>Founder test 2: 60 · Low Energy · advanced · build strength · Lower Body: Hinge</t>
        </is>
      </c>
      <c r="C3" s="2" t="inlineStr">
        <is>
          <t>low_energy</t>
        </is>
      </c>
      <c r="D3" s="2" t="inlineStr">
        <is>
          <t>advanced</t>
        </is>
      </c>
      <c r="E3" s="2" t="inlineStr">
        <is>
          <t>Build strength</t>
        </is>
      </c>
      <c r="F3" s="2" t="n">
        <v>60</v>
      </c>
      <c r="G3" s="2" t="inlineStr">
        <is>
          <t>Lower Body: Hinge</t>
        </is>
      </c>
      <c r="H3" s="2" t="inlineStr">
        <is>
          <t>none</t>
        </is>
      </c>
      <c r="I3" s="2" t="inlineStr">
        <is>
          <t>Lower Body: Hinge</t>
        </is>
      </c>
      <c r="J3" s="2" t="inlineStr">
        <is>
          <t>Compound + Paired Accessories</t>
        </is>
      </c>
      <c r="K3" s="2" t="n">
        <v>55</v>
      </c>
      <c r="L3" s="2" t="n">
        <v>18</v>
      </c>
      <c r="M3" s="2" t="inlineStr">
        <is>
          <t>pause</t>
        </is>
      </c>
      <c r="N3" s="2" t="inlineStr">
        <is>
          <t>Barbell Romanian Deadlift: 4 × 5–7 · paused reps  RIR 2  (Pause 2 s at the hardest point of every rep, then drive out of it. Stop each set with about 2 reps left in the tank.)  rest 210 s
Cable Pull-Through: 4 × 8–10  RIR 3  (Stop each set with about 3 reps left in the tank.)  rest 120 s
Curtsy Lunge: 4 × 8–10/side  RIR 3  (Stop each set with about 3 reps left in the tank.)  rest 120 s
Roman Chair / GHD Glute-Ham Raise: 3 × 10–12  RIR 1  rest 60 s
Dragon Flag: 3 × 10–12  RIR 1  rest 60 s</t>
        </is>
      </c>
      <c r="O3" s="2" t="inlineStr">
        <is>
          <t>You're low on energy today, so we're keeping you further from failure and keeping the main lifts at moderate loads. You're advanced, so we're keeping paused reps on Barbell Romanian Deadlift in the mix. Strength is the goal, so Barbell Romanian Deadlift gets the priority and full rest; everything else supports it.</t>
        </is>
      </c>
      <c r="P3" s="2" t="inlineStr">
        <is>
          <t>Session: Lower Body: Hinge, variant paired, 5 exercises, 18 working sets, est. 55.0 min for a 60-minute request; primary Barbell Romanian Deadlift 4 × 5–7 RIR 2; 0 superset(s), device none, methods ['paused reps on Barbell Romanian Deadlift'], finisher none.
[le] Low Energy realized ['rir', 'reps']; total sets 18, avg RIR raised, near failure ['Roman Chair / GHD Glute-Ham Raise', 'Dragon Flag'].
[level] Advanced: ['paused reps on Barbell Romanian Deadlift', 'higher-complexity movements kept in: Barbell Romanian Deadlift, Curtsy Lunge, Roman Chair / GHD Glute-Ham Raise, Dragon Flag'].
[goal] Goal build_strength: ['Barbell Romanian Deadlift at 5–7 with full 210 s rest', 'paused reps on Barbell Romanian Deadlift'].
Coherence low_energy: PASS
Within a rep of failure: Roman Chair / GHD Glute-Ham Raise, Dragon Flag.
Demanding compounds (systemic 4+): Barbell Romanian Deadlift.</t>
        </is>
      </c>
      <c r="Q3" s="2" t="inlineStr">
        <is>
          <t>state = low_energy (expression: moderate_load) → intended: reduce_training_cost → realized: Cable Pull-Through 6–8→8–10; Curtsy Lunge 6–8/side→8–10/side; Barbell Romanian Deadlift RIR 1→2; Cable Pull-Through RIR 2→3; Curtsy Lunge RIR 2→3
experience = advanced → intended: match_programming_vocabulary_to_level → realized: paused reps on Barbell Romanian Deadlift; higher-complexity movements kept in: Barbell Romanian Deadlift, Curtsy Lunge, Roman Chair / GHD Glute-Ham Raise, Dragon Flag
goal = build_strength → intended: primary_emphasis_heavier_longer_rest → realized: Barbell Romanian Deadlift at 5–7 with full 210 s rest; paused reps on Barbell Romanian Deadlift
duration = 60 → intended: fill_the_requested_time_with_useful_work → realized: estimated 55.0 min for a 60-minute request
equipment = commercial_gym → intended: availability_only → realized: nothing (no claim made)
history = first session → intended: rotate_shape_and_movements_keep_the_main_lift → realized: nothing (no claim made)</t>
        </is>
      </c>
      <c r="R3" s="2" t="inlineStr">
        <is>
          <t>Coherence low_energy: PASS</t>
        </is>
      </c>
      <c r="S3" s="2" t="n"/>
      <c r="T3" s="2" t="n"/>
    </row>
    <row r="4">
      <c r="A4" s="2" t="n">
        <v>3</v>
      </c>
      <c r="B4" s="2" t="inlineStr">
        <is>
          <t>Founder test 3: 60 · Low Energy · intermediate · build muscle · Arms</t>
        </is>
      </c>
      <c r="C4" s="2" t="inlineStr">
        <is>
          <t>low_energy</t>
        </is>
      </c>
      <c r="D4" s="2" t="inlineStr">
        <is>
          <t>intermediate</t>
        </is>
      </c>
      <c r="E4" s="2" t="inlineStr">
        <is>
          <t>Build muscle</t>
        </is>
      </c>
      <c r="F4" s="2" t="n">
        <v>60</v>
      </c>
      <c r="G4" s="2" t="inlineStr">
        <is>
          <t>Arms</t>
        </is>
      </c>
      <c r="H4" s="2" t="inlineStr">
        <is>
          <t>none</t>
        </is>
      </c>
      <c r="I4" s="2" t="inlineStr">
        <is>
          <t>Arms</t>
        </is>
      </c>
      <c r="J4" s="2" t="inlineStr">
        <is>
          <t>Traditional</t>
        </is>
      </c>
      <c r="K4" s="2" t="n">
        <v>45.6</v>
      </c>
      <c r="L4" s="2" t="n">
        <v>17</v>
      </c>
      <c r="M4" s="2" t="inlineStr">
        <is>
          <t>slow_eccentric</t>
        </is>
      </c>
      <c r="N4" s="2" t="inlineStr">
        <is>
          <t>Spider Curl: 4 × 8–10 · 3 s eccentric  RIR 3  (Take 3 s to lower every rep, then lift at normal speed. Stop each set with about 3 reps left in the tank.)  rest 150 s
Machine Triceps Extension: 4 × 8–10  RIR 3  (Stop each set with about 3 reps left in the tank.)  rest 150 s
SUPERSET A (3 rounds, rest 75 s after each round)
  A1 EZ-Bar Skull Crusher: 3 × 10–12  RIR 2
  A2 Cable Curl: 3 × 10–12  RIR 2
Machine Lateral Raise: 3 × 15–20  RIR 2  rest 90 s</t>
        </is>
      </c>
      <c r="O4" s="2" t="inlineStr">
        <is>
          <t>You're low on energy today, so we're keeping you further from failure, leaning into stable, low-friction movements and keeping the structure simple. As an intermediate lifter, 3 s eccentric on Spider Curl is on the table, and your muscle goal is why 3 accessory movements carry the session at moderate reps.</t>
        </is>
      </c>
      <c r="P4" s="2" t="inlineStr">
        <is>
          <t>Session: Arms, variant traditional, 5 exercises, 17 working sets, est. 45.6 min for a 60-minute request; primary none (no primary compound in this archetype); 1 superset(s), device none, methods ['3 s eccentric on Spider Curl'], finisher none.
[le] Low Energy realized ['rir', 'exercises']; total sets 17, avg RIR raised, near failure [].
[level] Intermediate: ['3 s eccentric on Spider Curl (intermediate and up)'].
[goal] Goal build_muscle: ['3 accessory movements, 9 accessory sets in the 10–20 range', '3 s eccentric on Spider Curl'].
Coherence low_energy: PASS; before repairs: ['total sets 23 above the Low Energy budget 18']
Coherence repairs: low_energy: trim_accessory_sets (Prone Y-Raise 3→2 sets, EZ-Bar Skull Crusher 4→3 sets, Cable Curl 4→3 sets, Machine Lateral Raise 4→3 sets); low_energy: remove_optional_accessory (Prone Y-Raise left out); low_energy: extend_rest (Spider Curl rest 120→135 s, Machine Triceps Extension rest 120→135 s, Cable Curl rest 60→75 s, EZ-Bar Skull Crusher rest 60→75 s, Machine Lateral Raise rest 60→75 s); low_energy: extend_rest (Spider Curl rest 135→150 s, Machine Triceps Extension rest 135→150 s, Cable Curl rest 75→90 s, EZ-Bar Skull Crusher rest 75→90 s, Machine Lateral Raise rest 75→90 s)</t>
        </is>
      </c>
      <c r="Q4" s="2" t="inlineStr">
        <is>
          <t>state = low_energy (expression: cost_down) → intended: reduce_training_cost → realized: Spider Curl RIR 2→3; Machine Triceps Extension RIR 2→3; Cable Curl RIR 1→2; EZ-Bar Skull Crusher RIR 1→2; Machine Lateral Raise RIR 1→2; 3 s eccentric on Spider Curl; Traditional instead of Volume; Hammer Curl → Spider Curl; Cable Triceps Kickback → Machine Triceps Extension; EZ-Bar Preacher Curl → Cable Curl
experience = intermediate → intended: match_programming_vocabulary_to_level → realized: 3 s eccentric on Spider Curl (intermediate and up)
goal = build_muscle → intended: hypertrophy_volume_and_accessories → realized: 3 accessory movements, 9 accessory sets in the 10–20 range; 3 s eccentric on Spider Curl
duration = 60 → intended: fill_the_requested_time_with_useful_work → realized: estimated 45.6 min for a 60-minute request
equipment = commercial_gym → intended: availability_only → realized: nothing (no claim made)
history = first session → intended: rotate_shape_and_movements_keep_the_main_lift → realized: nothing (no claim made)</t>
        </is>
      </c>
      <c r="R4" s="2" t="inlineStr">
        <is>
          <t>Coherence low_energy: PASS; before repairs: ['total sets 23 above the Low Energy budget 18']
Coherence repairs: low_energy: trim_accessory_sets (Prone Y-Raise 3→2 sets, EZ-Bar Skull Crusher 4→3 sets, Cable Curl 4→3 sets, Machine Lateral Raise 4→3 sets); low_energy: remove_optional_accessory (Prone Y-Raise left out); low_energy: extend_rest (Spider Curl rest 120→135 s, Machine Triceps Extension rest 120→135 s, Cable Curl rest 60→75 s, EZ-Bar Skull Crusher rest 60→75 s, Machine Lateral Raise rest 60→75 s); low_energy: extend_rest (Spider Curl rest 135→150 s, Machine Triceps Extension rest 135→150 s, Cable Curl rest 75→90 s, EZ-Bar Skull Crusher rest 75→90 s, Machine Lateral Raise rest 75→90 s)</t>
        </is>
      </c>
      <c r="S4" s="2" t="n"/>
      <c r="T4" s="2" t="n"/>
    </row>
    <row r="5">
      <c r="A5" s="2" t="n">
        <v>4</v>
      </c>
      <c r="B5" s="2" t="inlineStr">
        <is>
          <t>Founder test 4: 60 · Bored + Low Energy · intermediate · build muscle · Glutes + Legs</t>
        </is>
      </c>
      <c r="C5" s="2" t="inlineStr">
        <is>
          <t>bored, low_energy</t>
        </is>
      </c>
      <c r="D5" s="2" t="inlineStr">
        <is>
          <t>intermediate</t>
        </is>
      </c>
      <c r="E5" s="2" t="inlineStr">
        <is>
          <t>Build muscle</t>
        </is>
      </c>
      <c r="F5" s="2" t="n">
        <v>60</v>
      </c>
      <c r="G5" s="2" t="inlineStr">
        <is>
          <t>Glutes + Legs</t>
        </is>
      </c>
      <c r="H5" s="2" t="inlineStr">
        <is>
          <t>none</t>
        </is>
      </c>
      <c r="I5" s="2" t="inlineStr">
        <is>
          <t>Glutes + Legs</t>
        </is>
      </c>
      <c r="J5" s="2" t="inlineStr">
        <is>
          <t>Compound + Paired Accessories</t>
        </is>
      </c>
      <c r="K5" s="2" t="n">
        <v>51</v>
      </c>
      <c r="L5" s="2" t="n">
        <v>16</v>
      </c>
      <c r="M5" s="2" t="inlineStr">
        <is>
          <t>slow_eccentric</t>
        </is>
      </c>
      <c r="N5" s="2" t="inlineStr">
        <is>
          <t>Barbell Hip Thrust: 4 × 5–7  RIR 2  rest 180 s
Trap-Bar Deadlift: 4 × 8–10 · 3 s eccentric  RIR 2  (Take 3 s to lower every rep, then lift at normal speed. Stop each set with about 2 reps left in the tank.)  rest 120 s
Curtsy Lunge: 4 × 8–10/side  RIR 2  rest 120 s
Frog Pump: 4 × 12–15  RIR 2  rest 60 s</t>
        </is>
      </c>
      <c r="O5" s="2" t="inlineStr">
        <is>
          <t>You're bored and low on energy, so the change of scenery comes from the movement choices, not from extra work: 2 less-familiar movements, everything further from failure. As an intermediate lifter, 3 s eccentric on Trap-Bar Deadlift is on the table, and your muscle goal is why 1 accessory movement sits behind the main lifts at moderate reps.</t>
        </is>
      </c>
      <c r="P5" s="2" t="inlineStr">
        <is>
          <t>Session: Glutes + Legs, variant paired, 4 exercises, 16 working sets, est. 51.0 min for a 60-minute request; primary Barbell Hip Thrust 4 × 5–7 RIR 2; 0 superset(s), device none, methods ['3 s eccentric on Trap-Bar Deadlift'], finisher none.
[bored_low_energy] Bored realized ['exercises']; Low Energy realized ['slot_removed', 'exercises'].
[level] Intermediate: ['3 s eccentric on Trap-Bar Deadlift (intermediate and up)', 'intermediate pool: Trap-Bar Deadlift, Curtsy Lunge'].
[goal] Goal build_muscle: ['Compound + Paired Accessories shape (muscle goal weights it up)', '1 accessory movement behind the main lift, 4 accessory sets in the 10–20 range', '3 s eccentric on Trap-Bar Deadlift'].
Coherence bored: PASS
Coherence low_energy: PASS
Demanding compounds (systemic 4+): Trap-Bar Deadlift.</t>
        </is>
      </c>
      <c r="Q5" s="2" t="inlineStr">
        <is>
          <t>state = bored (expression: new_exercises) → intended: refresh_the_experience → realized: Box Step-Up (Glute Bias) → Curtsy Lunge; Machine Glute Kickback → Frog Pump
state = low_energy (expression: simplify) → intended: reduce_training_cost → realized: left out Reverse Nordic Curl; 3 s eccentric on Trap-Bar Deadlift; Box Step-Up (Glute Bias) → Curtsy Lunge; Machine Glute Kickback → Frog Pump
experience = intermediate → intended: match_programming_vocabulary_to_level → realized: 3 s eccentric on Trap-Bar Deadlift (intermediate and up); intermediate pool: Trap-Bar Deadlift, Curtsy Lunge
goal = build_muscle → intended: hypertrophy_volume_and_accessories → realized: Compound + Paired Accessories shape (muscle goal weights it up); 1 accessory movement behind the main lift, 4 accessory sets in the 10–20 range; 3 s eccentric on Trap-Bar Deadlift
duration = 60 → intended: fill_the_requested_time_with_useful_work → realized: estimated 51.0 min for a 60-minute request
equipment = commercial_gym → intended: availability_only → realized: nothing (no claim made)
history = first session → intended: rotate_shape_and_movements_keep_the_main_lift → realized: nothing (no claim made)</t>
        </is>
      </c>
      <c r="R5" s="2" t="inlineStr">
        <is>
          <t>Coherence bored: PASS
Coherence low_energy: PASS</t>
        </is>
      </c>
      <c r="S5" s="2" t="n"/>
      <c r="T5" s="2" t="n"/>
    </row>
    <row r="6">
      <c r="A6" s="2" t="n">
        <v>5</v>
      </c>
      <c r="B6" s="2" t="inlineStr">
        <is>
          <t>Founder test 5: 60 · Stressed · beginner · feel better · Upper Push</t>
        </is>
      </c>
      <c r="C6" s="2" t="inlineStr">
        <is>
          <t>stressed</t>
        </is>
      </c>
      <c r="D6" s="2" t="inlineStr">
        <is>
          <t>beginner</t>
        </is>
      </c>
      <c r="E6" s="2" t="inlineStr">
        <is>
          <t>Feel better / reduce stress</t>
        </is>
      </c>
      <c r="F6" s="2" t="n">
        <v>60</v>
      </c>
      <c r="G6" s="2" t="inlineStr">
        <is>
          <t>Upper Push</t>
        </is>
      </c>
      <c r="H6" s="2" t="inlineStr">
        <is>
          <t>none</t>
        </is>
      </c>
      <c r="I6" s="2" t="inlineStr">
        <is>
          <t>Upper Push</t>
        </is>
      </c>
      <c r="J6" s="2" t="inlineStr">
        <is>
          <t>Traditional</t>
        </is>
      </c>
      <c r="K6" s="2" t="n">
        <v>49.3</v>
      </c>
      <c r="L6" s="2" t="n">
        <v>16</v>
      </c>
      <c r="M6" s="2" t="inlineStr"/>
      <c r="N6" s="2" t="inlineStr">
        <is>
          <t>Dumbbell Bench Press: 4 × 6–8  RIR 3  (Stop each set with about 3 reps left in the tank.)  rest 180 s
Seated Dumbbell Shoulder Press: 3 × 10–12  RIR 3  (Stop each set with about 3 reps left in the tank.)  rest 150 s
Smith Machine Incline Press: 3 × 10–12  RIR 3  (Stop each set with about 3 reps left in the tank.)  rest 150 s
Pec Deck: 3 × 12–15  RIR 2  rest 60 s
Cable Triceps Pressdown: 3 × 12–15  RIR 2  rest 60 s</t>
        </is>
      </c>
      <c r="O6" s="2" t="inlineStr">
        <is>
          <t>You're stressed today, so the session runs on autopilot: a simple, predictable structure and one thing fewer to set up. As a newer lifter, you get approachable movements and two reps in reserve on the main work; the progress comes from adding load, not from grinding. Your feel-better goal keeps the compound work two reps from failure: steady, not grinding.</t>
        </is>
      </c>
      <c r="P6" s="2" t="inlineStr">
        <is>
          <t>Session: Upper Push, variant traditional, 5 exercises, 16 working sets, est. 49.3 min for a 60-minute request; primary Dumbbell Bench Press 4 × 6–8 RIR 3; 0 superset(s), device none, methods none, finisher none.
[stressed] Stressed realized ['structure', 'slot_removed']; variant traditional, pairs 0, device None, methods []; physical stimulus kept: False.
[level] Beginner: ['beginner bands: every lift keeps 2+ reps in reserve, no exercise above 4 sets', 'beginner-rated, low-complexity movements only', 'no advanced set methods'].
[goal] Goal feel_better_reduce_stress: ['Traditional shape (feel-better goal weights it up)', 'compound work stays 2+ reps from failure'].
Coherence stressed: PASS
Compound redundancy trimmed (family limit 1): db_shoulder_press 4 × 8–10 → 3 × 10–12; smith_incline_press 4 × 8–10 → 3 × 10–12</t>
        </is>
      </c>
      <c r="Q6" s="2" t="inlineStr">
        <is>
          <t>state = stressed (expression: simpler) → intended: reduce_cognitive_load → realized: left out Dumbbell Overhead Triceps Extension; Traditional instead of Volume
experience = beginner → intended: match_programming_vocabulary_to_level → realized: beginner bands: every lift keeps 2+ reps in reserve, no exercise above 4 sets; beginner-rated, low-complexity movements only; no advanced set methods
goal = feel_better_reduce_stress → intended: steady_effort_away_from_failure → realized: Traditional shape (feel-better goal weights it up); compound work stays 2+ reps from failure
duration = 60 → intended: fill_the_requested_time_with_useful_work → realized: filled toward the requested time: rest_extended, set_added; estimated 49.3 min for a 60-minute request
equipment = commercial_gym → intended: availability_only → realized: nothing (no claim made)
history = first session → intended: rotate_shape_and_movements_keep_the_main_lift → realized: nothing (no claim made)</t>
        </is>
      </c>
      <c r="R6" s="2" t="inlineStr">
        <is>
          <t>Coherence stressed: PASS</t>
        </is>
      </c>
      <c r="S6" s="2" t="n"/>
      <c r="T6" s="2" t="n"/>
    </row>
    <row r="7">
      <c r="A7" s="2" t="n">
        <v>6</v>
      </c>
      <c r="B7" s="2" t="inlineStr">
        <is>
          <t>Founder test 6: 60 · Irritated + Stressed · intermediate · build muscle · Upper Pull</t>
        </is>
      </c>
      <c r="C7" s="2" t="inlineStr">
        <is>
          <t>irritated, stressed</t>
        </is>
      </c>
      <c r="D7" s="2" t="inlineStr">
        <is>
          <t>intermediate</t>
        </is>
      </c>
      <c r="E7" s="2" t="inlineStr">
        <is>
          <t>Build muscle</t>
        </is>
      </c>
      <c r="F7" s="2" t="n">
        <v>60</v>
      </c>
      <c r="G7" s="2" t="inlineStr">
        <is>
          <t>Upper Pull</t>
        </is>
      </c>
      <c r="H7" s="2" t="inlineStr">
        <is>
          <t>none</t>
        </is>
      </c>
      <c r="I7" s="2" t="inlineStr">
        <is>
          <t>Upper Pull</t>
        </is>
      </c>
      <c r="J7" s="2" t="inlineStr">
        <is>
          <t>Heavy Primary</t>
        </is>
      </c>
      <c r="K7" s="2" t="n">
        <v>58.4</v>
      </c>
      <c r="L7" s="2" t="n">
        <v>16</v>
      </c>
      <c r="M7" s="2" t="inlineStr"/>
      <c r="N7" s="2" t="inlineStr">
        <is>
          <t>Chest-Supported Machine Row: 5 × 4–6  RIR 2  (Move the bar with intent: controlled down, drive up as fast as it will go. Stop each set with about 2 reps left in the tank.)  rest 240 s
Pull-Up: 4 × 8–10  RIR 2  rest 150 s
Single-Arm Lat Pulldown: 4 × 8–10/side  RIR 2  rest 150 s
EZ-Bar Curl: 3 × 10–12  RIR 1  rest 60 s</t>
        </is>
      </c>
      <c r="O7" s="2" t="inlineStr">
        <is>
          <t>You're irritated and stressed, so the session is heavy and direct without being frantic: Chest-Supported Machine Row carries the effort, the structure stays plain and the rest stays unhurried. For muscle, the volume lives in the accessory: 1 movement at moderate reps behind Chest-Supported Machine Row.</t>
        </is>
      </c>
      <c r="P7" s="2" t="inlineStr">
        <is>
          <t>Session: Upper Pull, variant heavy_primary, 4 exercises, 16 working sets, est. 58.4 min for a 60-minute request; primary Chest-Supported Machine Row 5 × 4–6 RIR 2; 0 superset(s), device none, methods none, finisher none.
[irritated_stressed] Irritated realized ['tempo', 'rest', 'structure']; Stressed realized ['exercises', 'slot_removed']. Catharsis through load and intent, not density.
[goal] Goal build_muscle: ['1 accessory movement behind the main lift, 3 accessory sets in the 10–20 range'].
Coherence irritated: PASS
Coherence stressed: PASS
Within a rep of failure: EZ-Bar Curl.</t>
        </is>
      </c>
      <c r="Q7" s="2" t="inlineStr">
        <is>
          <t>state = irritated (expression: heavy_primary) → intended: direct_physical_cathartic_work → realized: Chest-Supported Machine Row rest 225→240 s; Pull-Up rest 135→150 s; Single-Arm Lat Pulldown rest 135→150 s; explosive intent on Chest-Supported Machine Row; Heavy Primary instead of Volume; Single-Arm Cable Row → Single-Arm Lat Pulldown
state = stressed (expression: simpler) → intended: reduce_cognitive_load → realized: left out Dumbbell Pullover; Single-Arm Cable Row → Single-Arm Lat Pulldown
experience = intermediate → intended: match_programming_vocabulary_to_level → realized: intermediate pool: Pull-Up
goal = build_muscle → intended: hypertrophy_volume_and_accessories → realized: 1 accessory movement behind the main lift, 3 accessory sets in the 10–20 range
duration = 60 → intended: fill_the_requested_time_with_useful_work → realized: estimated 58.4 min for a 60-minute request
equipment = commercial_gym → intended: availability_only → realized: nothing (no claim made)
history = first session → intended: rotate_shape_and_movements_keep_the_main_lift → realized: nothing (no claim made)</t>
        </is>
      </c>
      <c r="R7" s="2" t="inlineStr">
        <is>
          <t>Coherence irritated: PASS
Coherence stressed: PASS</t>
        </is>
      </c>
      <c r="S7" s="2" t="n"/>
      <c r="T7" s="2" t="n"/>
    </row>
    <row r="8">
      <c r="A8" s="2" t="n">
        <v>7</v>
      </c>
      <c r="B8" s="2" t="inlineStr">
        <is>
          <t>Founder test 7: 60 · Amped + Stressed · intermediate · conditioning · Upper Push</t>
        </is>
      </c>
      <c r="C8" s="2" t="inlineStr">
        <is>
          <t>amped, stressed</t>
        </is>
      </c>
      <c r="D8" s="2" t="inlineStr">
        <is>
          <t>intermediate</t>
        </is>
      </c>
      <c r="E8" s="2" t="inlineStr">
        <is>
          <t>Lose weight / conditioning</t>
        </is>
      </c>
      <c r="F8" s="2" t="n">
        <v>60</v>
      </c>
      <c r="G8" s="2" t="inlineStr">
        <is>
          <t>Upper Push</t>
        </is>
      </c>
      <c r="H8" s="2" t="inlineStr">
        <is>
          <t>none</t>
        </is>
      </c>
      <c r="I8" s="2" t="inlineStr">
        <is>
          <t>Upper Push</t>
        </is>
      </c>
      <c r="J8" s="2" t="inlineStr">
        <is>
          <t>Traditional</t>
        </is>
      </c>
      <c r="K8" s="2" t="n">
        <v>51.6</v>
      </c>
      <c r="L8" s="2" t="n">
        <v>20</v>
      </c>
      <c r="M8" s="2" t="inlineStr"/>
      <c r="N8" s="2" t="inlineStr">
        <is>
          <t>Incline Dumbbell Press: 4 × 4–6  RIR 2  rest 180 s
Parallel Bar Dip: 4 × 6–8  RIR 2  (Controlled tempo: 3 s lowering, smooth drive, no bounce. Stop each set with about 2 reps left in the tank.)  rest 105 s
Push-Up: 3 × 8–12  RIR 2  rest 105 s
Cable Fly: 3 × 10–12  RIR 1  rest 60 s
EZ-Bar Skull Crusher: 3 × 10–12  RIR 1  rest 60 s
Rope Triceps Pressdown: 3 × 10–12  RIR 1  rest 60 s</t>
        </is>
      </c>
      <c r="O8" s="2" t="inlineStr">
        <is>
          <t>You're amped but stressed, so instead of making the workout busier we're putting that extra energy into more from the main lifts while keeping the structure straight and predictable and the rest unhurried. Your conditioning goal keeps the accessory rests short so the session keeps moving.</t>
        </is>
      </c>
      <c r="P8" s="2" t="inlineStr">
        <is>
          <t>Session: Upper Push, variant traditional, 6 exercises, 20 working sets, est. 51.6 min for a 60-minute request; primary Incline Dumbbell Press 4 × 4–6 RIR 2; 0 superset(s), device none, methods none, finisher none.
[amped_stressed] Amped + Stressed resolved as effort up, complexity down: Amped realized ['reps'], Stressed realized ['structure', 'tempo', 'exercises']; 0 superset(s), variant traditional, primary RIR 2.
[goal] Goal lose_weight_conditioning: ['short rests on the accessories (60 s)'].
Coherence amped: PASS
Coherence stressed: PASS
Compound redundancy trimmed (family limit 1): push_up 4 × 8–12 → 3 × 8–12
Within a rep of failure: Cable Fly, EZ-Bar Skull Crusher, Rope Triceps Pressdown.</t>
        </is>
      </c>
      <c r="Q8" s="2" t="inlineStr">
        <is>
          <t>state = amped (expression: heavy_end) → intended: use_readiness_productively → realized: Incline Dumbbell Press 5–7→4–6; Parallel Bar Dip 8–10→6–8
state = stressed (expression: controlled) → intended: reduce_cognitive_load → realized: Parallel Bar Dip RIR 1→2; Push-Up RIR 1→2; controlled on Parallel Bar Dip, Push-Up; Traditional instead of Volume; Single-Arm Cable Chest Press → Push-Up; Cross-Body Cable Triceps Extension → Rope Triceps Pressdown
experience = intermediate → intended: match_programming_vocabulary_to_level → realized: intermediate pool: Parallel Bar Dip
goal = lose_weight_conditioning → intended: density_short_rests_paired_work → realized: short rests on the accessories (60 s)
duration = 60 → intended: fill_the_requested_time_with_useful_work → realized: estimated 51.6 min for a 60-minute request
equipment = commercial_gym → intended: availability_only → realized: nothing (no claim made)
history = first session → intended: rotate_shape_and_movements_keep_the_main_lift → realized: nothing (no claim made)</t>
        </is>
      </c>
      <c r="R8" s="2" t="inlineStr">
        <is>
          <t>Coherence amped: PASS
Coherence stressed: PASS</t>
        </is>
      </c>
      <c r="S8" s="2" t="n"/>
      <c r="T8" s="2" t="n"/>
    </row>
    <row r="9">
      <c r="A9" s="2" t="n">
        <v>8</v>
      </c>
      <c r="B9" s="2" t="inlineStr">
        <is>
          <t>Founder test 8: 60 · Amped + Stressed · beginner · build muscle · Glutes + Legs</t>
        </is>
      </c>
      <c r="C9" s="2" t="inlineStr">
        <is>
          <t>amped, stressed</t>
        </is>
      </c>
      <c r="D9" s="2" t="inlineStr">
        <is>
          <t>beginner</t>
        </is>
      </c>
      <c r="E9" s="2" t="inlineStr">
        <is>
          <t>Build muscle</t>
        </is>
      </c>
      <c r="F9" s="2" t="n">
        <v>60</v>
      </c>
      <c r="G9" s="2" t="inlineStr">
        <is>
          <t>Glutes + Legs</t>
        </is>
      </c>
      <c r="H9" s="2" t="inlineStr">
        <is>
          <t>none</t>
        </is>
      </c>
      <c r="I9" s="2" t="inlineStr">
        <is>
          <t>Glutes + Legs</t>
        </is>
      </c>
      <c r="J9" s="2" t="inlineStr">
        <is>
          <t>Traditional</t>
        </is>
      </c>
      <c r="K9" s="2" t="n">
        <v>54.3</v>
      </c>
      <c r="L9" s="2" t="n">
        <v>18</v>
      </c>
      <c r="M9" s="2" t="inlineStr"/>
      <c r="N9" s="2" t="inlineStr">
        <is>
          <t>Barbell Hip Thrust: 4 × 6–8  RIR 2  rest 150 s
Pit Shark Belt Squat: 4 × 8–10  RIR 2  (Controlled tempo: 3 s lowering, smooth drive, no bounce. Stop each set with about 2 reps left in the tank.)  rest 120 s
Reverse Lunge: 4 × 8–10/side  RIR 2  (Controlled tempo: 3 s lowering, smooth drive, no bounce. Stop each set with about 2 reps left in the tank.)  rest 120 s
Machine Glute Kickback: 3 × 12–15/side  RIR 2  rest 60 s
Lying Leg Curl: 3 × 12–15  RIR 2  rest 60 s</t>
        </is>
      </c>
      <c r="O9" s="2" t="inlineStr">
        <is>
          <t>You're amped but stressed, so instead of making the workout busier we're putting that extra energy into more from the main lifts while keeping the structure straight and predictable and the rest unhurried. Since you're newer to lifting, the movements stay approachable and the main work keeps at least two reps in reserve. For muscle, the volume lives in the accessories: 2 movements at moderate reps behind Barbell Hip Thrust.</t>
        </is>
      </c>
      <c r="P9" s="2" t="inlineStr">
        <is>
          <t>Session: Glutes + Legs, variant traditional, 5 exercises, 18 working sets, est. 54.3 min for a 60-minute request; primary Barbell Hip Thrust 4 × 6–8 RIR 2; 0 superset(s), device none, methods none, finisher none.
[amped_stressed] Amped + Stressed resolved as effort up, complexity down: Amped realized ['reps'], Stressed realized ['tempo', 'exercises', 'complexity_or_systemic_cap']; 0 superset(s), variant traditional, primary RIR 2.
[level] Beginner: ['beginner bands: every lift keeps 2+ reps in reserve, no exercise above 4 sets', 'beginner-rated, low-complexity movements only', 'no advanced set methods'].
[goal] Goal build_muscle: ['2 accessory movements behind the main lift, 6 accessory sets in the 10–20 range'].
Coherence amped: PASS
Coherence stressed: PASS</t>
        </is>
      </c>
      <c r="Q9" s="2" t="inlineStr">
        <is>
          <t>state = amped (expression: heavy_end) → intended: use_readiness_productively → realized: Pit Shark Belt Squat 10–12→8–10; Reverse Lunge 10–12/side→8–10/side
state = stressed (expression: controlled) → intended: reduce_cognitive_load → realized: controlled on Pit Shark Belt Squat, Reverse Lunge; Cable Glute Kickback out (complexity / systemic cost); Standing Single-Leg Curl → Lying Leg Curl
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2 accessory movements behind the main lift, 6 accessory sets in the 10–20 range
duration = 60 → intended: fill_the_requested_time_with_useful_work → realized: estimated 54.3 min for a 60-minute request
equipment = commercial_gym → intended: availability_only → realized: nothing (no claim made)
history = first session → intended: rotate_shape_and_movements_keep_the_main_lift → realized: nothing (no claim made)</t>
        </is>
      </c>
      <c r="R9" s="2" t="inlineStr">
        <is>
          <t>Coherence amped: PASS
Coherence stressed: PASS</t>
        </is>
      </c>
      <c r="S9" s="2" t="n"/>
      <c r="T9" s="2" t="n"/>
    </row>
    <row r="10">
      <c r="A10" s="2" t="n">
        <v>9</v>
      </c>
      <c r="B10" s="2" t="inlineStr">
        <is>
          <t>Founder test 9: 60 · Amped · advanced · build strength · Full Body</t>
        </is>
      </c>
      <c r="C10" s="2" t="inlineStr">
        <is>
          <t>amped</t>
        </is>
      </c>
      <c r="D10" s="2" t="inlineStr">
        <is>
          <t>advanced</t>
        </is>
      </c>
      <c r="E10" s="2" t="inlineStr">
        <is>
          <t>Build strength</t>
        </is>
      </c>
      <c r="F10" s="2" t="n">
        <v>60</v>
      </c>
      <c r="G10" s="2" t="inlineStr">
        <is>
          <t>Full Body</t>
        </is>
      </c>
      <c r="H10" s="2" t="inlineStr">
        <is>
          <t>none</t>
        </is>
      </c>
      <c r="I10" s="2" t="inlineStr">
        <is>
          <t>Full Body</t>
        </is>
      </c>
      <c r="J10" s="2" t="inlineStr">
        <is>
          <t>Compound + Paired Accessories</t>
        </is>
      </c>
      <c r="K10" s="2" t="n">
        <v>54.5</v>
      </c>
      <c r="L10" s="2" t="n">
        <v>18</v>
      </c>
      <c r="M10" s="2" t="inlineStr">
        <is>
          <t>pause</t>
        </is>
      </c>
      <c r="N10" s="2" t="inlineStr">
        <is>
          <t>Barbell Romanian Deadlift: 5 × 5–7 · paused reps  RIR 1  (Pause 2 s at the hardest point of every rep, then drive out of it. Stop each set with about 1 rep left in the tank.)  rest 210 s
Dumbbell Thruster: 4 × 6–8  RIR 2  rest 120 s
Pull-Up: 4 × 6–8  RIR 2  rest 120 s
Landmine Rotation: 3 × 10–12  RIR 1  rest 60 s
Sissy Squat: 2 × 12–15  RIR 1  rest 45 s</t>
        </is>
      </c>
      <c r="O10" s="2" t="inlineStr">
        <is>
          <t>You're amped, so that extra readiness goes into demanding compound work with Barbell Romanian Deadlift carrying an extra working set. Since you're an advanced lifter focused on strength, the session stays compound-heavy rather than turning the energy into more accessory volume.</t>
        </is>
      </c>
      <c r="P10" s="2" t="inlineStr">
        <is>
          <t>Session: Full Body, variant paired, 5 exercises, 18 working sets, est. 54.5 min for a 60-minute request; primary Barbell Romanian Deadlift 5 × 5–7 RIR 1; 0 superset(s), device none, methods ['paused reps on Barbell Romanian Deadlift'], finisher none.
[amped_adv_strength] Amped + advanced + build_strength: realized ['structure', 'volume']; compound sets 13 vs accessory 5; primary reps 5–7 RIR 1.
Coherence amped: PASS
Within a rep of failure: Barbell Romanian Deadlift, Landmine Rotation, Sissy Squat.
Demanding compounds (systemic 4+): Barbell Romanian Deadlift, Dumbbell Thruster.</t>
        </is>
      </c>
      <c r="Q10" s="2" t="inlineStr">
        <is>
          <t>state = amped (expression: extra_set_paired) → intended: use_readiness_productively → realized: Barbell Romanian Deadlift 4→5 sets; Compound + Paired Accessories instead of Heavy Primary
experience = advanced → intended: match_programming_vocabulary_to_level → realized: paused reps on Barbell Romanian Deadlift; Barbell Romanian Deadlift runs to RIR 1 (advanced band position); higher-complexity movements kept in: Barbell Romanian Deadlift, Dumbbell Thruster, Pull-Up, Landmine Rotation, Sissy Squat
goal = build_strength → intended: primary_emphasis_heavier_longer_rest → realized: Barbell Romanian Deadlift at 5–7 with full 210 s rest; paused reps on Barbell Romanian Deadlift
duration = 60 → intended: fill_the_requested_time_with_useful_work → realized: estimated 54.5 min for a 60-minute request
equipment = commercial_gym → intended: availability_only → realized: nothing (no claim made)
history = first session → intended: rotate_shape_and_movements_keep_the_main_lift → realized: nothing (no claim made)</t>
        </is>
      </c>
      <c r="R10" s="2" t="inlineStr">
        <is>
          <t>Coherence amped: PASS</t>
        </is>
      </c>
      <c r="S10" s="2" t="n"/>
      <c r="T10" s="2" t="n"/>
    </row>
    <row r="11">
      <c r="A11" s="2" t="n">
        <v>10</v>
      </c>
      <c r="B11" s="2" t="inlineStr">
        <is>
          <t>Founder test 10: 60 · Bored · advanced · build muscle · Upper Pull</t>
        </is>
      </c>
      <c r="C11" s="2" t="inlineStr">
        <is>
          <t>bored</t>
        </is>
      </c>
      <c r="D11" s="2" t="inlineStr">
        <is>
          <t>advanced</t>
        </is>
      </c>
      <c r="E11" s="2" t="inlineStr">
        <is>
          <t>Build muscle</t>
        </is>
      </c>
      <c r="F11" s="2" t="n">
        <v>60</v>
      </c>
      <c r="G11" s="2" t="inlineStr">
        <is>
          <t>Upper Pull</t>
        </is>
      </c>
      <c r="H11" s="2" t="inlineStr">
        <is>
          <t>none</t>
        </is>
      </c>
      <c r="I11" s="2" t="inlineStr">
        <is>
          <t>Upper Pull</t>
        </is>
      </c>
      <c r="J11" s="2" t="inlineStr">
        <is>
          <t>Volume</t>
        </is>
      </c>
      <c r="K11" s="2" t="n">
        <v>55.5</v>
      </c>
      <c r="L11" s="2" t="n">
        <v>19</v>
      </c>
      <c r="M11" s="2" t="inlineStr">
        <is>
          <t>rest_pause, rest_pause</t>
        </is>
      </c>
      <c r="N11" s="2" t="inlineStr">
        <is>
          <t>Chest-Supported Machine Row: 4 × 6–8  RIR 2  rest 150 s
Lat Pulldown: 4 × 10–12  RIR 2  rest 120 s
Meadows Row: 4 × 10–12/side  RIR 2  rest 120 s
SUPERSET A (2 rounds, rest 60 s after each round)
  A1 Dumbbell Pullover: 2 × 12–15 · rest-pause on the final set  RIR 1  (On the last set, hit the reps, rest 15 s, then add as many clean reps as you can. Stop each set with about 1 rep left in the tank.)
  A2 Bayesian Cable Curl: 2 × 12–15/side · rest-pause on the final set  RIR 1  (On the last set, hit the reps, rest 15 s, then add as many clean reps as you can. Stop each set with about 1 rep left in the tank.)
LADDER EZ-Bar Curl: 3 sets: 15/12/9  RIR 1  rest 30 s</t>
        </is>
      </c>
      <c r="O11" s="2" t="inlineStr">
        <is>
          <t>You're bored, so the novelty is the sophisticated kind: rest-pause on the final set on Dumbbell Pullover and 3 less-familiar movements. Your muscle goal is why 3 accessory movements sit behind the main lifts at moderate reps.</t>
        </is>
      </c>
      <c r="P11" s="2" t="inlineStr">
        <is>
          <t>Session: Upper Pull, variant volume, 6 exercises, 19 working sets, est. 55.5 min for a 60-minute request; primary Chest-Supported Machine Row 4 × 6–8 RIR 2; 1 superset(s), device ladder, methods ['rest-pause on the final set on Dumbbell Pullover', 'rest-pause on the final set on Bayesian Cable Curl'], finisher none.
[bored_adv] Bored advanced: realized ['exercises', 'set_method']; methods [('rest-pause on the final set', 'Dumbbell Pullover'), ('rest-pause on the final set', 'Bayesian Cable Curl')]; complexity-3+ movements ['Meadows Row']; continuity False.
[goal] Goal build_muscle: ['Volume shape (muscle goal weights it up)', '3 accessory movements behind the main lift, 7 accessory sets in the 10–20 range', 'rest-pause on the final set on Dumbbell Pullover', 'rest-pause on the final set on Bayesian Cable Curl'].
Coherence bored: PASS
Within a rep of failure: Dumbbell Pullover, EZ-Bar Curl, Bayesian Cable Curl.</t>
        </is>
      </c>
      <c r="Q11" s="2" t="inlineStr">
        <is>
          <t>state = bored (expression: new_exercises) → intended: refresh_the_experience → realized: rest-pause on the final set on Dumbbell Pullover; rest-pause on the final set on Bayesian Cable Curl; T-Bar Row → Meadows Row; Barbell Curl → EZ-Bar Curl; Machine Preacher Curl → Bayesian Cable Curl
experience = advanced → intended: match_programming_vocabulary_to_level → realized: rest-pause on the final set on Dumbbell Pullover; rest-pause on the final set on Bayesian Cable Curl; higher-complexity movements kept in: Meadows Row
goal = build_muscle → intended: hypertrophy_volume_and_accessories → realized: Volume shape (muscle goal weights it up); 3 accessory movements behind the main lift, 7 accessory sets in the 10–20 range; rest-pause on the final set on Dumbbell Pullover; rest-pause on the final set on Bayesian Cable Curl
duration = 60 → intended: fill_the_requested_time_with_useful_work → realized: trimmed to fit: accessory_rest_shortened, set_removed; estimated 55.5 min for a 60-minute request
equipment = commercial_gym → intended: availability_only → realized: nothing (no claim made)
history = first session → intended: rotate_shape_and_movements_keep_the_main_lift → realized: nothing (no claim made)</t>
        </is>
      </c>
      <c r="R11" s="2" t="inlineStr">
        <is>
          <t>Coherence bored: PASS</t>
        </is>
      </c>
      <c r="S11" s="2" t="n"/>
      <c r="T11" s="2" t="n"/>
    </row>
    <row r="12">
      <c r="A12" s="2" t="n">
        <v>11</v>
      </c>
      <c r="B12" s="2" t="inlineStr">
        <is>
          <t>Founder test 11: 60 · Bored · advanced · build muscle · Lower Body: Hinge</t>
        </is>
      </c>
      <c r="C12" s="2" t="inlineStr">
        <is>
          <t>bored</t>
        </is>
      </c>
      <c r="D12" s="2" t="inlineStr">
        <is>
          <t>advanced</t>
        </is>
      </c>
      <c r="E12" s="2" t="inlineStr">
        <is>
          <t>Build muscle</t>
        </is>
      </c>
      <c r="F12" s="2" t="n">
        <v>60</v>
      </c>
      <c r="G12" s="2" t="inlineStr">
        <is>
          <t>Lower Body: Hinge</t>
        </is>
      </c>
      <c r="H12" s="2" t="inlineStr">
        <is>
          <t>none</t>
        </is>
      </c>
      <c r="I12" s="2" t="inlineStr">
        <is>
          <t>Lower Body: Hinge</t>
        </is>
      </c>
      <c r="J12" s="2" t="inlineStr">
        <is>
          <t>Volume</t>
        </is>
      </c>
      <c r="K12" s="2" t="n">
        <v>58.3</v>
      </c>
      <c r="L12" s="2" t="n">
        <v>20</v>
      </c>
      <c r="M12" s="2" t="inlineStr">
        <is>
          <t>pause, slow_eccentric</t>
        </is>
      </c>
      <c r="N12" s="2" t="inlineStr">
        <is>
          <t>Barbell Romanian Deadlift: 4 × 6–8 · paused reps  RIR 2  (Pause 2 s at the hardest point of every rep, then drive out of it. Stop each set with about 2 reps left in the tank.)  rest 150 s
Cable Pull-Through: 4 × 10–12 · 3 s eccentric  RIR 2  (Take 3 s to lower every rep, then lift at normal speed. Stop each set with about 2 reps left in the tank.)  rest 120 s
Box Step-Up (Glute Bias): 4 × 10–12/side  RIR 2  rest 120 s
Roman Chair / GHD Glute-Ham Raise: 4 × 12–15  RIR 1  rest 60 s
Dragon Flag: 4 × 12–15  RIR 1  rest 60 s</t>
        </is>
      </c>
      <c r="O12" s="2" t="inlineStr">
        <is>
          <t>You're bored, so the novelty is the sophisticated kind: paused reps on Barbell Romanian Deadlift. Your muscle goal is why 2 accessory movements sit behind the main lifts at moderate reps.</t>
        </is>
      </c>
      <c r="P12" s="2" t="inlineStr">
        <is>
          <t>Session: Lower Body: Hinge, variant volume, 5 exercises, 20 working sets, est. 58.3 min for a 60-minute request; primary Barbell Romanian Deadlift 4 × 6–8 RIR 2; 0 superset(s), device none, methods ['paused reps on Barbell Romanian Deadlift', '3 s eccentric on Cable Pull-Through'], finisher none.
[bored_adv] Bored advanced: realized ['set_method']; methods [('paused reps', 'Barbell Romanian Deadlift'), ('3 s eccentric', 'Cable Pull-Through')]; complexity-3+ movements ['Barbell Romanian Deadlift', 'Roman Chair / GHD Glute-Ham Raise', 'Dragon Flag']; continuity False.
[goal] Goal build_muscle: ['Volume shape (muscle goal weights it up)', '2 accessory movements behind the main lift, 8 accessory sets in the 10–20 range', '3 s eccentric on Cable Pull-Through'].
Coherence bored: PASS
Within a rep of failure: Roman Chair / GHD Glute-Ham Raise, Dragon Flag.
Demanding compounds (systemic 4+): Barbell Romanian Deadlift.</t>
        </is>
      </c>
      <c r="Q12" s="2" t="inlineStr">
        <is>
          <t>state = bored (expression: new_structure) → intended: refresh_the_experience → realized: paused reps on Barbell Romanian Deadlift
experience = advanced → intended: match_programming_vocabulary_to_level → realized: paused reps on Barbell Romanian Deadlift; 3 s eccentric on Cable Pull-Through; higher-complexity movements kept in: Barbell Romanian Deadlift, Roman Chair / GHD Glute-Ham Raise, Dragon Flag
goal = build_muscle → intended: hypertrophy_volume_and_accessories → realized: Volume shape (muscle goal weights it up); 2 accessory movements behind the main lift, 8 accessory sets in the 10–20 range; 3 s eccentric on Cable Pull-Through
duration = 60 → intended: fill_the_requested_time_with_useful_work → realized: estimated 58.3 min for a 60-minute request
equipment = commercial_gym → intended: availability_only → realized: nothing (no claim made)
history = first session → intended: rotate_shape_and_movements_keep_the_main_lift → realized: nothing (no claim made)</t>
        </is>
      </c>
      <c r="R12" s="2" t="inlineStr">
        <is>
          <t>Coherence bored: PASS</t>
        </is>
      </c>
      <c r="S12" s="2" t="n"/>
      <c r="T12" s="2" t="n"/>
    </row>
    <row r="13">
      <c r="A13" s="2" t="n">
        <v>12</v>
      </c>
      <c r="B13" s="2" t="inlineStr">
        <is>
          <t>Founder test 12: 60 · Irritated · advanced · build muscle · Lower Body: Squat</t>
        </is>
      </c>
      <c r="C13" s="2" t="inlineStr">
        <is>
          <t>irritated</t>
        </is>
      </c>
      <c r="D13" s="2" t="inlineStr">
        <is>
          <t>advanced</t>
        </is>
      </c>
      <c r="E13" s="2" t="inlineStr">
        <is>
          <t>Build muscle</t>
        </is>
      </c>
      <c r="F13" s="2" t="n">
        <v>60</v>
      </c>
      <c r="G13" s="2" t="inlineStr">
        <is>
          <t>Lower Body: Squat</t>
        </is>
      </c>
      <c r="H13" s="2" t="inlineStr">
        <is>
          <t>none</t>
        </is>
      </c>
      <c r="I13" s="2" t="inlineStr">
        <is>
          <t>Lower Body: Squat</t>
        </is>
      </c>
      <c r="J13" s="2" t="inlineStr">
        <is>
          <t>Heavy Primary</t>
        </is>
      </c>
      <c r="K13" s="2" t="n">
        <v>50.3</v>
      </c>
      <c r="L13" s="2" t="n">
        <v>15</v>
      </c>
      <c r="M13" s="2" t="inlineStr"/>
      <c r="N13" s="2" t="inlineStr">
        <is>
          <t>Hack Squat: 5 × 4–6  RIR 1  (Move the bar with intent: controlled down, drive up as fast as it will go. Stop each set with about 1 rep left in the tank.)  rest 240 s
Reverse Lunge: 4 × 8–10/side  RIR 2  rest 150 s
SUPERSET A (3 rounds, rest 60 s after each round)
  A1 Sissy Squat: 3 × 12–15  RIR 1
  A2 Roman Chair / GHD Glute-Ham Raise: 3 × 10–12  RIR 1</t>
        </is>
      </c>
      <c r="O13" s="2" t="inlineStr">
        <is>
          <t>You're irritated, so the session is built around heavy, direct work: Hack Squat heavy and driven with intent, simple movements behind it and nothing fussy. No finisher needed; the load does the job. Your muscle goal is why 2 accessory movements sit behind the main lifts at moderate reps.</t>
        </is>
      </c>
      <c r="P13" s="2" t="inlineStr">
        <is>
          <t>Session: Lower Body: Squat, variant heavy_primary, 4 exercises, 15 working sets, est. 50.3 min for a 60-minute request; primary Hack Squat 5 × 4–6 RIR 1; 1 superset(s), device none, methods none, finisher none.
[irr_adv] Irritated advanced: realized ['structure', 'rest', 'tempo']; heavy primary True, variant heavy_primary, finisher False.
[goal] Goal build_muscle: ['2 accessory movements behind the main lift, 6 accessory sets in the 10–20 range'].
Coherence irritated: PASS
Within a rep of failure: Hack Squat, Sissy Squat, Roman Chair / GHD Glute-Ham Raise.</t>
        </is>
      </c>
      <c r="Q13" s="2" t="inlineStr">
        <is>
          <t>state = irritated (expression: heavy_primary) → intended: direct_physical_cathartic_work → realized: Hack Squat rest 225→240 s; Reverse Lunge rest 135→150 s; explosive intent on Hack Squat; Heavy Primary instead of Traditional
experience = advanced → intended: match_programming_vocabulary_to_level → realized: Hack Squat runs to RIR 1 (advanced band position); higher-complexity movements kept in: Sissy Squat, Roman Chair / GHD Glute-Ham Raise; Heavy Primary shape
goal = build_muscle → intended: hypertrophy_volume_and_accessories → realized: 2 accessory movements behind the main lift, 6 accessory sets in the 10–20 range
duration = 60 → intended: fill_the_requested_time_with_useful_work → realized: estimated 50.3 min for a 60-minute request
equipment = commercial_gym → intended: availability_only → realized: nothing (no claim made)
history = first session → intended: rotate_shape_and_movements_keep_the_main_lift → realized: nothing (no claim made)</t>
        </is>
      </c>
      <c r="R13" s="2" t="inlineStr">
        <is>
          <t>Coherence irritated: PASS</t>
        </is>
      </c>
      <c r="S13" s="2" t="n"/>
      <c r="T13" s="2" t="n"/>
    </row>
    <row r="14">
      <c r="A14" s="2" t="n">
        <v>13</v>
      </c>
      <c r="B14" s="2" t="inlineStr">
        <is>
          <t>Founder test 13: 60 · Irritated + sore legs · intermediate · build muscle · MOOD's Pick</t>
        </is>
      </c>
      <c r="C14" s="2" t="inlineStr">
        <is>
          <t>irritated</t>
        </is>
      </c>
      <c r="D14" s="2" t="inlineStr">
        <is>
          <t>intermediate</t>
        </is>
      </c>
      <c r="E14" s="2" t="inlineStr">
        <is>
          <t>Build muscle</t>
        </is>
      </c>
      <c r="F14" s="2" t="n">
        <v>60</v>
      </c>
      <c r="G14" s="2" t="inlineStr">
        <is>
          <t>MOOD's Pick</t>
        </is>
      </c>
      <c r="H14" s="2" t="inlineStr">
        <is>
          <t>legs</t>
        </is>
      </c>
      <c r="I14" s="2" t="inlineStr">
        <is>
          <t>Upper Pull</t>
        </is>
      </c>
      <c r="J14" s="2" t="inlineStr">
        <is>
          <t>Traditional</t>
        </is>
      </c>
      <c r="K14" s="2" t="n">
        <v>56.7</v>
      </c>
      <c r="L14" s="2" t="n">
        <v>19</v>
      </c>
      <c r="M14" s="2" t="inlineStr"/>
      <c r="N14" s="2" t="inlineStr">
        <is>
          <t>Chest-Supported Machine Row: 4 × 4–6  RIR 2  (Move the bar with intent: controlled down, drive up as fast as it will go. Stop each set with about 2 reps left in the tank.)  rest 195 s
Pull-Up: 4 × 8–10  RIR 2  rest 135 s
Single-Arm Cable Row: 4 × 8–10/side  RIR 2  rest 135 s
SUPERSET A (2 rounds, rest 60 s after each round)
  A1 Dumbbell Pullover: 2 × 10–12  RIR 1
  A2 Bayesian Cable Curl: 2 × 10–12/side  RIR 1
Barbell Curl: 3 × 10–12  RIR 1  rest 60 s</t>
        </is>
      </c>
      <c r="O14" s="2" t="inlineStr">
        <is>
          <t>Your legs are sore, so we're moving the work away from them: today is an Upper Pull session that leaves them alone. You're irritated today, so we're loading the main lifts heavier, driving every rep of Chest-Supported Machine Row with intent and giving the heavy work full rest so it stays heavy. Your muscle goal is why 3 accessory movements sit behind the main lifts at moderate reps.</t>
        </is>
      </c>
      <c r="P14" s="2" t="inlineStr">
        <is>
          <t>Session: Upper Pull, variant traditional, 6 exercises, 19 working sets, est. 56.7 min for a 60-minute request; primary Chest-Supported Machine Row 4 × 4–6 RIR 2; 1 superset(s), device none, methods none, finisher none.
[sore] Soreness: ['no movement loads the sore calves, glutes, hamstrings, quads directly', 'no accessory uses it as a secondary mover either'].
[irr] Irritated realized ['rest', 'tempo', 'reps']; variant traditional; finisher False.
[goal] Goal build_muscle: ['3 accessory movements behind the main lift, 7 accessory sets in the 10–20 range'].
Coherence irritated: PASS
Within a rep of failure: Dumbbell Pullover, Barbell Curl, Bayesian Cable Curl.</t>
        </is>
      </c>
      <c r="Q14" s="2" t="inlineStr">
        <is>
          <t>state = irritated (expression: heavy_primary) → intended: direct_physical_cathartic_work → realized: Chest-Supported Machine Row 5–7→4–6; Chest-Supported Machine Row rest 165→195 s; Pull-Up rest 120→135 s; Single-Arm Cable Row rest 120→135 s; explosive intent on Chest-Supported Machine Row
soreness = ['calves', 'glutes', 'hamstrings', 'quads'] → intended: protect_sore_region → realized: no movement loads the sore calves, glutes, hamstrings, quads directly; no accessory uses it as a secondary mover either
experience = intermediate → intended: match_programming_vocabulary_to_level → realized: intermediate pool: Pull-Up
goal = build_muscle → intended: hypertrophy_volume_and_accessories → realized: 3 accessory movements behind the main lift, 7 accessory sets in the 10–20 range
duration = 60 → intended: fill_the_requested_time_with_useful_work → realized: trimmed to fit: accessory_rest_shortened, set_removed; estimated 56.7 min for a 60-minute request
equipment = commercial_gym → intended: availability_only → realized: nothing (no claim made)
history = first session → intended: rotate_shape_and_movements_keep_the_main_lift → realized: nothing (no claim made)</t>
        </is>
      </c>
      <c r="R14" s="2" t="inlineStr">
        <is>
          <t>Coherence irritated: PASS</t>
        </is>
      </c>
      <c r="S14" s="2" t="n"/>
      <c r="T14" s="2" t="n"/>
    </row>
    <row r="15">
      <c r="A15" s="2" t="n">
        <v>14</v>
      </c>
      <c r="B15" s="2" t="inlineStr">
        <is>
          <t>Founder test 14: 60 · Amped + sore shoulders · intermediate · build muscle · Upper Push (user-selected)</t>
        </is>
      </c>
      <c r="C15" s="2" t="inlineStr">
        <is>
          <t>amped</t>
        </is>
      </c>
      <c r="D15" s="2" t="inlineStr">
        <is>
          <t>intermediate</t>
        </is>
      </c>
      <c r="E15" s="2" t="inlineStr">
        <is>
          <t>Build muscle</t>
        </is>
      </c>
      <c r="F15" s="2" t="n">
        <v>60</v>
      </c>
      <c r="G15" s="2" t="inlineStr">
        <is>
          <t>Upper Push</t>
        </is>
      </c>
      <c r="H15" s="2" t="inlineStr">
        <is>
          <t>shoulders</t>
        </is>
      </c>
      <c r="I15" s="2" t="inlineStr">
        <is>
          <t>Custom Target</t>
        </is>
      </c>
      <c r="J15" s="2" t="inlineStr">
        <is>
          <t>Compound + Paired Accessories</t>
        </is>
      </c>
      <c r="K15" s="2" t="n">
        <v>51.9</v>
      </c>
      <c r="L15" s="2" t="n">
        <v>20</v>
      </c>
      <c r="M15" s="2" t="inlineStr"/>
      <c r="N15" s="2" t="inlineStr">
        <is>
          <t>Barbell Bench Press: 4 × 8–10  RIR 1  rest 120 s
Smith Machine Incline Press: 4 × 8–10  RIR 2  rest 120 s
SUPERSET A (4 rounds, rest 60 s after each round)
  A1 Cable Fly: 4 × 12–15  RIR 2
  A2 Overhead Cable Triceps Extension: 4 × 12–15  RIR 2
Assisted Dip (Triceps Bias): 4 × 8–10  RIR 2  rest 120 s
FINISHER  Machine Triceps Extension: 2 × 15–20  RIR 0  rest 30 s</t>
        </is>
      </c>
      <c r="O15" s="2" t="inlineStr">
        <is>
          <t>Your shoulders are sore, so today's Upper Push keeps the chest and triceps work and leaves the shoulders work out. You're amped today, so we're taking Barbell Bench Press a rep closer to failure and closing with a burnout finisher. For muscle, the volume lives in the accessories: 2 movements at moderate reps.</t>
        </is>
      </c>
      <c r="P15" s="2" t="inlineStr">
        <is>
          <t>Session: Custom Target, variant paired, 5 exercises, 20 working sets, est. 51.9 min for a 60-minute request; primary none (no primary compound in this archetype); 1 superset(s), device none, methods none, finisher Machine Triceps Extension (burnout).
[sore] Soreness: ['narrowed Upper Push to chest + triceps; shoulders work left out (sore)', 'no movement loads the sore front_delts, rear_delts, shoulders, side_delts directly', '3 movements still use it as a secondary mover (Barbell Bench Press, Smith Machine Incline Press, Assisted Dip (Triceps Bias)); everything else avoids it'].
[amped] Amped realized ['rir', 'finisher']; near failure ['Barbell Bench Press']; total sets 20.
[goal] Goal build_muscle: ['Compound + Paired Accessories shape (muscle goal weights it up)', '2 accessory movements, 8 accessory sets in the 10–20 range'].
Coherence amped: PASS; before repairs: ['5 movements within a rep of failure (failure training)']
Coherence repairs: amped: trim_near_failure (Smith Machine Incline Press RIR 1→2, Cable Fly RIR 1→2, Assisted Dip (Triceps Bias) RIR 1→2, Overhead Cable Triceps Extension RIR 1→2)
Within a rep of failure: Barbell Bench Press.</t>
        </is>
      </c>
      <c r="Q15" s="2" t="inlineStr">
        <is>
          <t>state = amped (expression: heavy_end) → intended: use_readiness_productively → realized: Barbell Bench Press RIR 2→1; burnout finisher: Machine Triceps Extension 2 × 15–20
soreness = ['front_delts', 'rear_delts', 'shoulders', 'side_delts'] → intended: protect_sore_region → realized: narrowed Upper Push to chest + triceps; shoulders work left out (sore); no movement loads the sore front_delts, rear_delts, shoulders, side_delts directly; 3 movements still use it as a secondary mover (Barbell Bench Press, Smith Machine Incline Press, Assisted Dip (Triceps Bias)); everything else avoids it
experience = intermediate → intended: match_programming_vocabulary_to_level → realized: intermediate pool: Barbell Bench Press
goal = build_muscle → intended: hypertrophy_volume_and_accessories → realized: Compound + Paired Accessories shape (muscle goal weights it up); 2 accessory movements, 8 accessory sets in the 10–20 range
target = ['chest', 'triceps'] → intended: cover_every_target_muscle_directly → realized: chest: Barbell Bench Press, Smith Machine Incline Press, Cable Fly; triceps: Assisted Dip (Triceps Bias), Overhead Cable Triceps Extension
duration = 60 → intended: fill_the_requested_time_with_useful_work → realized: estimated 51.9 min for a 60-minute request
equipment = commercial_gym → intended: availability_only → realized: nothing (no claim made)
history = first session → intended: rotate_shape_and_movements_keep_the_main_lift → realized: nothing (no claim made)</t>
        </is>
      </c>
      <c r="R15" s="2" t="inlineStr">
        <is>
          <t>Coherence amped: PASS; before repairs: ['5 movements within a rep of failure (failure training)']
Coherence repairs: amped: trim_near_failure (Smith Machine Incline Press RIR 1→2, Cable Fly RIR 1→2, Assisted Dip (Triceps Bias) RIR 1→2, Overhead Cable Triceps Extension RIR 1→2)</t>
        </is>
      </c>
      <c r="S15" s="2" t="n"/>
      <c r="T15" s="2" t="n"/>
    </row>
    <row r="16">
      <c r="A16" s="2" t="n">
        <v>15</v>
      </c>
      <c r="B16" s="2" t="inlineStr">
        <is>
          <t>Founder test 15: 60 · Low Energy + Amped · intermediate · build muscle · Lower Body: Squat</t>
        </is>
      </c>
      <c r="C16" s="2" t="inlineStr">
        <is>
          <t>low_energy, amped</t>
        </is>
      </c>
      <c r="D16" s="2" t="inlineStr">
        <is>
          <t>intermediate</t>
        </is>
      </c>
      <c r="E16" s="2" t="inlineStr">
        <is>
          <t>Build muscle</t>
        </is>
      </c>
      <c r="F16" s="2" t="n">
        <v>60</v>
      </c>
      <c r="G16" s="2" t="inlineStr">
        <is>
          <t>Lower Body: Squat</t>
        </is>
      </c>
      <c r="H16" s="2" t="inlineStr">
        <is>
          <t>none</t>
        </is>
      </c>
      <c r="I16" s="2" t="inlineStr">
        <is>
          <t>Lower Body: Squat</t>
        </is>
      </c>
      <c r="J16" s="2" t="inlineStr">
        <is>
          <t>Compound + Paired Accessories</t>
        </is>
      </c>
      <c r="K16" s="2" t="n">
        <v>55.7</v>
      </c>
      <c r="L16" s="2" t="n">
        <v>18</v>
      </c>
      <c r="M16" s="2" t="inlineStr">
        <is>
          <t>one_and_half</t>
        </is>
      </c>
      <c r="N16" s="2" t="inlineStr">
        <is>
          <t>Barbell Back Squat: 4 × 5–7  RIR 1  rest 180 s
Leg Press: 4 × 10–12 · 1.5 reps  RIR 2  (Full rep, half rep from the stretched position, back to the top: that is one rep. Stop each set with about 2 reps left in the tank.)  rest 120 s
Reverse Lunge: 4 × 10–12/side  RIR 2  rest 120 s
SUPERSET A (3 rounds, rest 60 s after each round)
  A1 Reverse Nordic Curl: 3 × 12–15  RIR 2
  A2 Single-Leg Lying Leg Curl: 3 × 12–15/side  RIR 2</t>
        </is>
      </c>
      <c r="O16" s="2" t="inlineStr">
        <is>
          <t>You're amped but running on less energy than usual, so energy sets the budget and the readiness goes into one place: Barbell Back Squat. Everything around it stays further from failure. As an intermediate lifter, 1.5 reps on Leg Press is on the table, and your muscle goal is why 2 accessory movements sit behind the main lifts at moderate reps.</t>
        </is>
      </c>
      <c r="P16" s="2" t="inlineStr">
        <is>
          <t>Session: Lower Body: Squat, variant paired, 5 exercises, 18 working sets, est. 55.7 min for a 60-minute request; primary Barbell Back Squat 4 × 5–7 RIR 1; 1 superset(s), device none, methods ['1.5 reps on Leg Press'], finisher none.
[amped_low_energy] Low Energy owns systemic cost (realized ['rir', 'complexity_or_systemic_cap', 'reps']); Amped kept only on the primary (Barbell Back Squat RIR 2→1).
[level] Intermediate: ['1.5 reps on Leg Press (intermediate and up)', 'intermediate pool: Barbell Back Squat'].
[goal] Goal build_muscle: ['Compound + Paired Accessories shape (muscle goal weights it up)', '2 accessory movements behind the main lift, 6 accessory sets in the 10–20 range', '1.5 reps on Leg Press'].
Coherence low_energy: PASS; before repairs: ['total sets 20 above the Low Energy budget 18']
Coherence amped: PASS
Coherence repairs: low_energy: trim_accessory_sets (Single-Leg Lying Leg Curl 4→3 sets, Reverse Nordic Curl 4→3 sets)
Within a rep of failure: Barbell Back Squat.
Demanding compounds (systemic 4+): Barbell Back Squat.</t>
        </is>
      </c>
      <c r="Q16" s="2" t="inlineStr">
        <is>
          <t>state = low_energy (expression: moderate_load) → intended: reduce_training_cost → realized: Leg Press 8–10→10–12; Reverse Lunge 8–10/side→10–12/side; Reverse Nordic Curl RIR 1→2; Single-Leg Lying Leg Curl RIR 1→2; Sissy Squat out (complexity / systemic cost); Roman Chair / GHD Glute-Ham Raise out (complexity / systemic cost)
state = amped (expression: top_set) → intended: use_readiness_productively → realized: Barbell Back Squat RIR 2→1
experience = intermediate → intended: match_programming_vocabulary_to_level → realized: 1.5 reps on Leg Press (intermediate and up); intermediate pool: Barbell Back Squat
goal = build_muscle → intended: hypertrophy_volume_and_accessories → realized: Compound + Paired Accessories shape (muscle goal weights it up); 2 accessory movements behind the main lift, 6 accessory sets in the 10–20 range; 1.5 reps on Leg Press
duration = 60 → intended: fill_the_requested_time_with_useful_work → realized: estimated 55.7 min for a 60-minute request
equipment = commercial_gym → intended: availability_only → realized: nothing (no claim made)
history = first session → intended: rotate_shape_and_movements_keep_the_main_lift → realized: nothing (no claim made)</t>
        </is>
      </c>
      <c r="R16" s="2" t="inlineStr">
        <is>
          <t>Coherence low_energy: PASS; before repairs: ['total sets 20 above the Low Energy budget 18']
Coherence amped: PASS
Coherence repairs: low_energy: trim_accessory_sets (Single-Leg Lying Leg Curl 4→3 sets, Reverse Nordic Curl 4→3 sets)</t>
        </is>
      </c>
      <c r="S16" s="2" t="n"/>
      <c r="T16" s="2" t="n"/>
    </row>
    <row r="17">
      <c r="A17" s="2" t="n">
        <v>16</v>
      </c>
      <c r="B17" s="2" t="inlineStr">
        <is>
          <t>Founder test 16: 60 · Core · beginner · build muscle</t>
        </is>
      </c>
      <c r="C17" s="2" t="inlineStr">
        <is>
          <t>none</t>
        </is>
      </c>
      <c r="D17" s="2" t="inlineStr">
        <is>
          <t>beginner</t>
        </is>
      </c>
      <c r="E17" s="2" t="inlineStr">
        <is>
          <t>Build muscle</t>
        </is>
      </c>
      <c r="F17" s="2" t="n">
        <v>60</v>
      </c>
      <c r="G17" s="2" t="inlineStr">
        <is>
          <t>Core</t>
        </is>
      </c>
      <c r="H17" s="2" t="inlineStr">
        <is>
          <t>none</t>
        </is>
      </c>
      <c r="I17" s="2" t="inlineStr">
        <is>
          <t>Core</t>
        </is>
      </c>
      <c r="J17" s="2" t="inlineStr">
        <is>
          <t>Traditional</t>
        </is>
      </c>
      <c r="K17" s="2" t="n">
        <v>51.7</v>
      </c>
      <c r="L17" s="2" t="n">
        <v>18</v>
      </c>
      <c r="M17" s="2" t="inlineStr"/>
      <c r="N17" s="2" t="inlineStr">
        <is>
          <t>Half-Kneeling Single-Arm Landmine Press: 4 × 10–12/side  RIR 2  rest 120 s
Hollow Body Hold: 2 × 20–40 sec  RIR 2  rest 60 s
Kettlebell Deadlift: 4 × 10–12  RIR 2  rest 120 s
Pallof Press: 2 × 12–15/side  RIR 2  rest 60 s
Farmer Carry: 2 × 20–40 m  RIR 2  rest 60 s
Cable Wood Chop: 2 × 12–15/side  RIR 2  rest 60 s
Weighted Sit-Up: 2 × 12–15  RIR 2  rest 60 s</t>
        </is>
      </c>
      <c r="O17" s="2" t="inlineStr">
        <is>
          <t>Since you're newer to lifting, the movements stay approachable and the main work keeps at least two reps in reserve. Core stays the focus, but at 60 minutes it becomes a core-focused strength session: a loaded bracing lift, anti-extension, posterior-chain work, anti-rotation and lateral stability and carries.</t>
        </is>
      </c>
      <c r="P17" s="2" t="inlineStr">
        <is>
          <t>Session: Core, variant traditional, 7 exercises, 18 working sets, est. 51.7 min for a 60-minute request; primary none (no primary compound in this archetype); 0 superset(s), device none, methods none, finisher none.
[core_focus] Core-focused session: categories ['brace_load', 'anti_extension', 'posterior', 'anti_rotation', 'carry', 'rotation', 'flexion']; direct trunk work 4, loaded bracing 3; est 51.7 min for 60.
[level] Beginner: ['beginner bands: every lift keeps 2+ reps in reserve, no exercise above 4 sets', 'beginner-rated, low-complexity movements only', 'no advanced set methods'].</t>
        </is>
      </c>
      <c r="Q17" s="2" t="inlineStr">
        <is>
          <t>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5 accessory movements, 10 accessory sets in the 10–20 range
duration = 60 → intended: fill_the_requested_time_with_useful_work → realized: trimmed to fit: accessory_rest_shortened, set_removed; estimated 51.7 min for a 60-minute request
equipment = commercial_gym → intended: availability_only → realized: nothing (no claim made)
history = first session → intended: rotate_shape_and_movements_keep_the_main_lift → realized: nothing (no claim made)</t>
        </is>
      </c>
      <c r="R17" s="2" t="inlineStr">
        <is>
          <t>no State</t>
        </is>
      </c>
      <c r="S17" s="2" t="n"/>
      <c r="T17" s="2" t="n"/>
    </row>
    <row r="18">
      <c r="A18" s="2" t="n">
        <v>17</v>
      </c>
      <c r="B18" s="2" t="inlineStr">
        <is>
          <t>Founder test 17: 60 · Core · advanced · build strength</t>
        </is>
      </c>
      <c r="C18" s="2" t="inlineStr">
        <is>
          <t>none</t>
        </is>
      </c>
      <c r="D18" s="2" t="inlineStr">
        <is>
          <t>advanced</t>
        </is>
      </c>
      <c r="E18" s="2" t="inlineStr">
        <is>
          <t>Build strength</t>
        </is>
      </c>
      <c r="F18" s="2" t="n">
        <v>60</v>
      </c>
      <c r="G18" s="2" t="inlineStr">
        <is>
          <t>Core</t>
        </is>
      </c>
      <c r="H18" s="2" t="inlineStr">
        <is>
          <t>none</t>
        </is>
      </c>
      <c r="I18" s="2" t="inlineStr">
        <is>
          <t>Core</t>
        </is>
      </c>
      <c r="J18" s="2" t="inlineStr">
        <is>
          <t>Traditional</t>
        </is>
      </c>
      <c r="K18" s="2" t="n">
        <v>54.3</v>
      </c>
      <c r="L18" s="2" t="n">
        <v>23</v>
      </c>
      <c r="M18" s="2" t="inlineStr"/>
      <c r="N18" s="2" t="inlineStr">
        <is>
          <t>Barbell Overhead Press: 4 × 8–10  RIR 2  rest 120 s
Ab Wheel Rollout: 3 × 10–12  RIR 1  rest 60 s
Kettlebell Swing: 4 × 8–10  RIR 2  rest 120 s
Copenhagen Plank: 3 × 15–30 sec / side  RIR 1  rest 60 s
Farmer Carry: 3 × 20–40 m  RIR 1  rest 60 s
Cable Wood Chop: 3 × 10–12/side  RIR 1  rest 60 s
Hanging Knee Raise: 3 × 10–12  RIR 1  rest 60 s</t>
        </is>
      </c>
      <c r="O18" s="2" t="inlineStr">
        <is>
          <t>Since you're an advanced lifter, the compound work stays demanding before the accessories. Core stays the focus, but at 60 minutes it becomes a core-focused strength session: a loaded bracing lift, anti-extension, posterior-chain work, anti-rotation and lateral stability and carries.</t>
        </is>
      </c>
      <c r="P18" s="2" t="inlineStr">
        <is>
          <t>Session: Core, variant traditional, 7 exercises, 23 working sets, est. 54.3 min for a 60-minute request; primary none (no primary compound in this archetype); 0 superset(s), device none, methods none, finisher none.
[core_focus] Core-focused session: categories ['brace_load', 'anti_extension', 'posterior', 'anti_rotation', 'carry', 'rotation', 'flexion']; direct trunk work 4, loaded bracing 3; est 54.3 min for 60.
[level] Advanced: ['higher-complexity movements kept in: Barbell Overhead Press, Ab Wheel Rollout, Copenhagen Plank'].
Within a rep of failure: Ab Wheel Rollout, Copenhagen Plank, Farmer Carry, Cable Wood Chop, Hanging Knee Raise.</t>
        </is>
      </c>
      <c r="Q18" s="2" t="inlineStr">
        <is>
          <t>experience = advanced → intended: match_programming_vocabulary_to_level → realized: higher-complexity movements kept in: Barbell Overhead Press, Ab Wheel Rollout, Copenhagen Plank
goal = build_strength → intended: primary_emphasis_heavier_longer_rest → realized: nothing (no claim made)
duration = 60 → intended: fill_the_requested_time_with_useful_work → realized: estimated 54.3 min for a 60-minute request
equipment = commercial_gym → intended: availability_only → realized: nothing (no claim made)
history = first session → intended: rotate_shape_and_movements_keep_the_main_lift → realized: nothing (no claim made)</t>
        </is>
      </c>
      <c r="R18" s="2" t="inlineStr">
        <is>
          <t>no State</t>
        </is>
      </c>
      <c r="S18" s="2" t="n"/>
      <c r="T18" s="2" t="n"/>
    </row>
    <row r="19">
      <c r="A19" s="2" t="n">
        <v>18</v>
      </c>
      <c r="B19" s="2" t="inlineStr">
        <is>
          <t>Founder test 18: 60 · Core · Low Energy · intermediate</t>
        </is>
      </c>
      <c r="C19" s="2" t="inlineStr">
        <is>
          <t>low_energy</t>
        </is>
      </c>
      <c r="D19" s="2" t="inlineStr">
        <is>
          <t>intermediate</t>
        </is>
      </c>
      <c r="E19" s="2" t="inlineStr">
        <is>
          <t>Build muscle</t>
        </is>
      </c>
      <c r="F19" s="2" t="n">
        <v>60</v>
      </c>
      <c r="G19" s="2" t="inlineStr">
        <is>
          <t>Core</t>
        </is>
      </c>
      <c r="H19" s="2" t="inlineStr">
        <is>
          <t>none</t>
        </is>
      </c>
      <c r="I19" s="2" t="inlineStr">
        <is>
          <t>Core</t>
        </is>
      </c>
      <c r="J19" s="2" t="inlineStr">
        <is>
          <t>Traditional</t>
        </is>
      </c>
      <c r="K19" s="2" t="n">
        <v>49.9</v>
      </c>
      <c r="L19" s="2" t="n">
        <v>18</v>
      </c>
      <c r="M19" s="2" t="inlineStr"/>
      <c r="N19" s="2" t="inlineStr">
        <is>
          <t>Half-Kneeling Single-Arm Landmine Press: 4 × 8–10/side  RIR 3  (Stop each set with about 3 reps left in the tank.)  rest 120 s
Front Plank: 2 × 30–60 sec  RIR 2  rest 60 s
Kettlebell Deadlift: 4 × 8–10  RIR 3  (Stop each set with about 3 reps left in the tank.)  rest 120 s
Pallof Step-Out: 2 × 10–12/side  RIR 2  rest 60 s
Suitcase Carry: 2 × 20–30 m / side  RIR 2  rest 60 s
Cable Wood Chop: 2 × 10–12/side  RIR 2  rest 60 s
Weighted Sit-Up: 2 × 10–12  RIR 2  rest 60 s</t>
        </is>
      </c>
      <c r="O19" s="2" t="inlineStr">
        <is>
          <t>You're low on energy today, so we're keeping you further from failure and leaning into stable, low-friction movements. Core stays the focus, but at 60 minutes it becomes a core-focused strength session: a loaded bracing lift, anti-extension, posterior-chain work, anti-rotation and lateral stability and carries.</t>
        </is>
      </c>
      <c r="P19" s="2" t="inlineStr">
        <is>
          <t>Session: Core, variant traditional, 7 exercises, 18 working sets, est. 49.9 min for a 60-minute request; primary none (no primary compound in this archetype); 0 superset(s), device none, methods none, finisher none.
[le] Low Energy realized ['rir', 'exercises']; total sets 18, avg RIR raised, near failure [].
[core_focus] Core-focused session: categories ['brace_load', 'anti_extension', 'posterior', 'anti_rotation', 'carry', 'rotation', 'flexion']; direct trunk work 4, loaded bracing 3; est 49.9 min for 60.
Coherence low_energy: PASS; before repairs: ['total sets 21 above the Low Energy budget 18']
Coherence repairs: low_energy: trim_accessory_sets (Suitcase Carry 3→2 sets, Pallof Step-Out 3→2 sets, Front Plank 3→2 sets)</t>
        </is>
      </c>
      <c r="Q19" s="2" t="inlineStr">
        <is>
          <t>state = low_energy (expression: cost_down) → intended: reduce_training_cost → realized: Half-Kneeling Single-Arm Landmine Press RIR 2→3; Front Plank RIR 1→2; Kettlebell Deadlift RIR 2→3; Pallof Step-Out RIR 1→2; Suitcase Carry RIR 1→2; Cable Wood Chop RIR 1→2; Weighted Sit-Up RIR 1→2; Half-Kneeling Single-Arm Landmine Press (new vs no-State build); Front Plank (new vs no-State build); Pallof Step-Out (new vs no-State build)
experience = intermediate → intended: match_programming_vocabulary_to_level → realized: nothing (no claim made)
goal = build_muscle → intended: hypertrophy_volume_and_accessories → realized: 5 accessory movements, 10 accessory sets in the 10–20 range
duration = 60 → intended: fill_the_requested_time_with_useful_work → realized: trimmed to fit: accessory_rest_shortened, set_removed; estimated 49.9 min for a 60-minute request
equipment = commercial_gym → intended: availability_only → realized: nothing (no claim made)
history = first session → intended: rotate_shape_and_movements_keep_the_main_lift → realized: nothing (no claim made)</t>
        </is>
      </c>
      <c r="R19" s="2" t="inlineStr">
        <is>
          <t>Coherence low_energy: PASS; before repairs: ['total sets 21 above the Low Energy budget 18']
Coherence repairs: low_energy: trim_accessory_sets (Suitcase Carry 3→2 sets, Pallof Step-Out 3→2 sets, Front Plank 3→2 sets)</t>
        </is>
      </c>
      <c r="S19" s="2" t="n"/>
      <c r="T19" s="2" t="n"/>
    </row>
    <row r="20">
      <c r="A20" s="2" t="n">
        <v>19</v>
      </c>
      <c r="B20" s="2" t="inlineStr">
        <is>
          <t>Founder test 19: 60 · Core · Bored · intermediate</t>
        </is>
      </c>
      <c r="C20" s="2" t="inlineStr">
        <is>
          <t>bored</t>
        </is>
      </c>
      <c r="D20" s="2" t="inlineStr">
        <is>
          <t>intermediate</t>
        </is>
      </c>
      <c r="E20" s="2" t="inlineStr">
        <is>
          <t>Build muscle</t>
        </is>
      </c>
      <c r="F20" s="2" t="n">
        <v>60</v>
      </c>
      <c r="G20" s="2" t="inlineStr">
        <is>
          <t>Core</t>
        </is>
      </c>
      <c r="H20" s="2" t="inlineStr">
        <is>
          <t>none</t>
        </is>
      </c>
      <c r="I20" s="2" t="inlineStr">
        <is>
          <t>Core</t>
        </is>
      </c>
      <c r="J20" s="2" t="inlineStr">
        <is>
          <t>Traditional</t>
        </is>
      </c>
      <c r="K20" s="2" t="n">
        <v>55.2</v>
      </c>
      <c r="L20" s="2" t="n">
        <v>23</v>
      </c>
      <c r="M20" s="2" t="inlineStr">
        <is>
          <t>rest_pause</t>
        </is>
      </c>
      <c r="N20" s="2" t="inlineStr">
        <is>
          <t>Zercher Squat: 4 × 8–10  RIR 2  rest 120 s
Hollow Body Hold: 3 × 20–40 sec  RIR 1  rest 60 s
Kettlebell Swing: 4 × 8–10  RIR 2  rest 120 s
Pallof Step-Out: 3 × 10–12/side · rest-pause on the final set  RIR 1  (On the last set, hit the reps, rest 15 s, then add as many clean reps as you can. Stop each set with about 1 rep left in the tank.)  rest 60 s
Suitcase Carry: 3 × 20–30 m / side  RIR 1  rest 60 s
Landmine Rotation: 3 × 10–12  RIR 1  rest 60 s
Decline Sit-Up: 3 × 10–12  RIR 1  rest 60 s</t>
        </is>
      </c>
      <c r="O20" s="2" t="inlineStr">
        <is>
          <t>You're bored today, so we're changing the feel with rest-pause on the final set on the Pallof Step-Out and bringing in 6 less-familiar movements. As an intermediate lifter, rest-pause on the final set on Pallof Step-Out is on the table. Core stays the focus, but at 60 minutes it becomes a core-focused strength session: a loaded bracing lift, anti-extension, posterior-chain work, anti-rotation and lateral stability and carries.</t>
        </is>
      </c>
      <c r="P20" s="2" t="inlineStr">
        <is>
          <t>Session: Core, variant traditional, 7 exercises, 23 working sets, est. 55.2 min for a 60-minute request; primary none (no primary compound in this archetype); 0 superset(s), device none, methods ['rest-pause on the final set on Pallof Step-Out'], finisher none.
[bored] Bored realized ['exercises', 'set_method']; novel movements ['Zercher Squat', 'Hollow Body Hold', 'Kettlebell Swing', 'Pallof Step-Out', 'Suitcase Carry', 'Landmine Rotation'].
[core_focus] Core-focused session: categories ['brace_load', 'anti_extension', 'posterior', 'anti_rotation', 'carry', 'rotation', 'flexion']; direct trunk work 4, loaded bracing 3; est 55.2 min for 60.
[level] Intermediate: ['rest-pause on the final set on Pallof Step-Out (intermediate and up)', 'intermediate pool: Zercher Squat, Landmine Rotation'].
Coherence bored: PASS
Within a rep of failure: Hollow Body Hold, Pallof Step-Out, Suitcase Carry, Landmine Rotation, Decline Sit-Up.
Demanding compounds (systemic 4+): Zercher Squat.</t>
        </is>
      </c>
      <c r="Q20" s="2" t="inlineStr">
        <is>
          <t>state = bored (expression: new_exercises) → intended: refresh_the_experience → realized: rest-pause on the final set on Pallof Step-Out; Zercher Squat (new vs no-State build); Hollow Body Hold (new vs no-State build); Kettlebell Swing (new vs no-State build); Pallof Step-Out (new vs no-State build); Suitcase Carry (new vs no-State build); Decline Sit-Up (new vs no-State build)
experience = intermediate → intended: match_programming_vocabulary_to_level → realized: rest-pause on the final set on Pallof Step-Out (intermediate and up); intermediate pool: Zercher Squat, Landmine Rotation
goal = build_muscle → intended: hypertrophy_volume_and_accessories → realized: 5 accessory movements, 15 accessory sets in the 10–20 range; rest-pause on the final set on Pallof Step-Out
duration = 60 → intended: fill_the_requested_time_with_useful_work → realized: trimmed to fit: accessory_rest_shortened, set_removed; estimated 55.2 min for a 60-minute request
equipment = commercial_gym → intended: availability_only → realized: nothing (no claim made)
history = first session → intended: rotate_shape_and_movements_keep_the_main_lift → realized: nothing (no claim made)</t>
        </is>
      </c>
      <c r="R20" s="2" t="inlineStr">
        <is>
          <t>Coherence bored: PASS</t>
        </is>
      </c>
      <c r="S20" s="2" t="n"/>
      <c r="T20" s="2" t="n"/>
    </row>
    <row r="21">
      <c r="A21" s="2" t="n">
        <v>20</v>
      </c>
      <c r="B21" s="2" t="inlineStr">
        <is>
          <t>Founder test 20: 60 · Core · Amped · intermediate</t>
        </is>
      </c>
      <c r="C21" s="2" t="inlineStr">
        <is>
          <t>amped</t>
        </is>
      </c>
      <c r="D21" s="2" t="inlineStr">
        <is>
          <t>intermediate</t>
        </is>
      </c>
      <c r="E21" s="2" t="inlineStr">
        <is>
          <t>Build muscle</t>
        </is>
      </c>
      <c r="F21" s="2" t="n">
        <v>60</v>
      </c>
      <c r="G21" s="2" t="inlineStr">
        <is>
          <t>Core</t>
        </is>
      </c>
      <c r="H21" s="2" t="inlineStr">
        <is>
          <t>none</t>
        </is>
      </c>
      <c r="I21" s="2" t="inlineStr">
        <is>
          <t>Core</t>
        </is>
      </c>
      <c r="J21" s="2" t="inlineStr">
        <is>
          <t>Traditional</t>
        </is>
      </c>
      <c r="K21" s="2" t="n">
        <v>58.8</v>
      </c>
      <c r="L21" s="2" t="n">
        <v>23</v>
      </c>
      <c r="M21" s="2" t="inlineStr">
        <is>
          <t>rest_pause</t>
        </is>
      </c>
      <c r="N21" s="2" t="inlineStr">
        <is>
          <t>Half-Kneeling Single-Arm Landmine Press: 4 × 8–10/side  RIR 1  rest 120 s
Hollow Body Hold: 3 × 20–40 sec  RIR 2  rest 60 s
Rack Pull: 4 × 8–10  RIR 2  rest 120 s
Pallof Step-Out: 3 × 10–12/side · rest-pause on the final set  RIR 2  (On the last set, hit the reps, rest 15 s, then add as many clean reps as you can. Stop each set with about 2 reps left in the tank.)  rest 60 s
Suitcase Carry: 3 × 20–30 m / side  RIR 2  rest 60 s
Cable Wood Chop: 3 × 10–12/side  RIR 2  rest 60 s
Hanging Knee Raise: 3 × 10–12  RIR 2  rest 60 s</t>
        </is>
      </c>
      <c r="O21" s="2" t="inlineStr">
        <is>
          <t>You're amped today, so we're taking Half-Kneeling Single-Arm Landmine Press a rep closer to failure and using rest-pause on the final set on Pallof Step-Out. As an intermediate lifter, rest-pause on the final set on Pallof Step-Out is on the table. Core stays the focus, but at 60 minutes it becomes a core-focused strength session: a loaded bracing lift, anti-extension, posterior-chain work, anti-rotation and lateral stability and carries.</t>
        </is>
      </c>
      <c r="P21" s="2" t="inlineStr">
        <is>
          <t>Session: Core, variant traditional, 7 exercises, 23 working sets, est. 58.8 min for a 60-minute request; primary none (no primary compound in this archetype); 0 superset(s), device none, methods ['rest-pause on the final set on Pallof Step-Out'], finisher none.
[amped] Amped realized ['rir', 'set_method']; near failure ['Half-Kneeling Single-Arm Landmine Press']; total sets 23.
[core_focus] Core-focused session: categories ['brace_load', 'anti_extension', 'posterior', 'anti_rotation', 'carry', 'rotation', 'flexion']; direct trunk work 4, loaded bracing 3; est 58.8 min for 60.
[level] Intermediate: ['rest-pause on the final set on Pallof Step-Out (intermediate and up)'].
Coherence amped: PASS; before repairs: ['7 movements within a rep of failure (failure training)']
Coherence repairs: amped: trim_near_failure (Hollow Body Hold RIR 1→2, Rack Pull RIR 1→2, Pallof Step-Out RIR 1→2, Suitcase Carry RIR 1→2, Cable Wood Chop RIR 1→2, Hanging Knee Raise RIR 1→2)
Within a rep of failure: Half-Kneeling Single-Arm Landmine Press.
Demanding compounds (systemic 4+): Rack Pull.</t>
        </is>
      </c>
      <c r="Q21" s="2" t="inlineStr">
        <is>
          <t>state = amped (expression: heavy_end) → intended: use_readiness_productively → realized: Half-Kneeling Single-Arm Landmine Press RIR 2→1; rest-pause on the final set on Pallof Step-Out
experience = intermediate → intended: match_programming_vocabulary_to_level → realized: rest-pause on the final set on Pallof Step-Out (intermediate and up)
goal = build_muscle → intended: hypertrophy_volume_and_accessories → realized: 5 accessory movements, 15 accessory sets in the 10–20 range; rest-pause on the final set on Pallof Step-Out
duration = 60 → intended: fill_the_requested_time_with_useful_work → realized: trimmed to fit: accessory_rest_shortened, finisher_dropped, set_removed; estimated 58.8 min for a 60-minute request
equipment = commercial_gym → intended: availability_only → realized: nothing (no claim made)
history = first session → intended: rotate_shape_and_movements_keep_the_main_lift → realized: nothing (no claim made)</t>
        </is>
      </c>
      <c r="R21" s="2" t="inlineStr">
        <is>
          <t>Coherence amped: PASS; before repairs: ['7 movements within a rep of failure (failure training)']
Coherence repairs: amped: trim_near_failure (Hollow Body Hold RIR 1→2, Rack Pull RIR 1→2, Pallof Step-Out RIR 1→2, Suitcase Carry RIR 1→2, Cable Wood Chop RIR 1→2, Hanging Knee Raise RIR 1→2)</t>
        </is>
      </c>
      <c r="S21" s="2" t="n"/>
      <c r="T21" s="2" t="n"/>
    </row>
    <row r="22">
      <c r="A22" s="2" t="n">
        <v>21</v>
      </c>
      <c r="B22" s="2" t="inlineStr">
        <is>
          <t>Founder test 21: 60 · Core · Stressed · beginner</t>
        </is>
      </c>
      <c r="C22" s="2" t="inlineStr">
        <is>
          <t>stressed</t>
        </is>
      </c>
      <c r="D22" s="2" t="inlineStr">
        <is>
          <t>beginner</t>
        </is>
      </c>
      <c r="E22" s="2" t="inlineStr">
        <is>
          <t>Build muscle</t>
        </is>
      </c>
      <c r="F22" s="2" t="n">
        <v>60</v>
      </c>
      <c r="G22" s="2" t="inlineStr">
        <is>
          <t>Core</t>
        </is>
      </c>
      <c r="H22" s="2" t="inlineStr">
        <is>
          <t>none</t>
        </is>
      </c>
      <c r="I22" s="2" t="inlineStr">
        <is>
          <t>Core</t>
        </is>
      </c>
      <c r="J22" s="2" t="inlineStr">
        <is>
          <t>Traditional</t>
        </is>
      </c>
      <c r="K22" s="2" t="n">
        <v>49.4</v>
      </c>
      <c r="L22" s="2" t="n">
        <v>17</v>
      </c>
      <c r="M22" s="2" t="inlineStr"/>
      <c r="N22" s="2" t="inlineStr">
        <is>
          <t>Goblet Squat: 4 × 10–12  RIR 2  rest 150 s
Dead Bug: 3 × 12–15/side  RIR 2  rest 60 s
Kettlebell Deadlift: 4 × 10–12  RIR 2  rest 150 s
Farmer Carry: 3 × 20–40 m  RIR 2  rest 60 s
Captain's Chair Knee Raise: 3 × 12–15  RIR 2  rest 60 s</t>
        </is>
      </c>
      <c r="O22" s="2" t="inlineStr">
        <is>
          <t>You're stressed today, so the session runs on autopilot: familiar movements and one thing fewer to set up. As a newer lifter, you get approachable movements and two reps in reserve on the main work; the progress comes from adding load, not from grinding. Core stays the focus, but at 60 minutes it becomes a core-focused strength session: a loaded bracing lift, anti-extension, posterior-chain work, carries and loaded flexion.</t>
        </is>
      </c>
      <c r="P22" s="2" t="inlineStr">
        <is>
          <t>Session: Core, variant traditional, 5 exercises, 17 working sets, est. 49.4 min for a 60-minute request; primary none (no primary compound in this archetype); 0 superset(s), device none, methods none, finisher none.
[stressed] Stressed realized ['slot_removed', 'exercises']; variant traditional, pairs 0, device None, methods []; physical stimulus kept: False.
[core_focus] Core-focused session: categories ['brace_load', 'anti_extension', 'posterior', 'carry', 'flexion', 'flexion']; direct trunk work 3, loaded bracing 3; est 49.4 min for 60.
[level] Beginner: ['beginner bands: every lift keeps 2+ reps in reserve, no exercise above 4 sets', 'beginner-rated, low-complexity movements only', 'no advanced set methods'].
Coherence stressed: PASS</t>
        </is>
      </c>
      <c r="Q22" s="2" t="inlineStr">
        <is>
          <t>state = stressed (expression: simpler) → intended: reduce_cognitive_load → realized: left out Weighted Sit-Up; Goblet Squat (new vs no-State build); Kettlebell Deadlift (new vs no-State build); Farmer Carry (new vs no-State build)
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3 accessory movements, 9 accessory sets in the 10–20 range
duration = 60 → intended: fill_the_requested_time_with_useful_work → realized: filled toward the requested time: rest_extended; estimated 49.4 min for a 60-minute request
equipment = commercial_gym → intended: availability_only → realized: nothing (no claim made)
history = first session → intended: rotate_shape_and_movements_keep_the_main_lift → realized: nothing (no claim made)</t>
        </is>
      </c>
      <c r="R22" s="2" t="inlineStr">
        <is>
          <t>Coherence stressed: PASS</t>
        </is>
      </c>
      <c r="S22" s="2" t="n"/>
      <c r="T22" s="2" t="n"/>
    </row>
    <row r="23">
      <c r="A23" s="2" t="n">
        <v>22</v>
      </c>
      <c r="B23" s="2" t="inlineStr">
        <is>
          <t>Founder test 22: 30 · Low Energy · beginner · build muscle · Upper Push</t>
        </is>
      </c>
      <c r="C23" s="2" t="inlineStr">
        <is>
          <t>low_energy</t>
        </is>
      </c>
      <c r="D23" s="2" t="inlineStr">
        <is>
          <t>beginner</t>
        </is>
      </c>
      <c r="E23" s="2" t="inlineStr">
        <is>
          <t>Build muscle</t>
        </is>
      </c>
      <c r="F23" s="2" t="n">
        <v>30</v>
      </c>
      <c r="G23" s="2" t="inlineStr">
        <is>
          <t>Upper Push</t>
        </is>
      </c>
      <c r="H23" s="2" t="inlineStr">
        <is>
          <t>none</t>
        </is>
      </c>
      <c r="I23" s="2" t="inlineStr">
        <is>
          <t>Upper Push</t>
        </is>
      </c>
      <c r="J23" s="2" t="inlineStr">
        <is>
          <t>Efficient</t>
        </is>
      </c>
      <c r="K23" s="2" t="n">
        <v>26.4</v>
      </c>
      <c r="L23" s="2" t="n">
        <v>10</v>
      </c>
      <c r="M23" s="2" t="inlineStr"/>
      <c r="N23" s="2" t="inlineStr">
        <is>
          <t>Incline Dumbbell Press: 3 × 6–8  RIR 2  rest 120 s
Seated Dumbbell Shoulder Press: 3 × 10–12  RIR 2  rest 90 s
SUPERSET A (2 rounds, rest 60 s after each round)
  A1 Pec Deck: 2 × 15–20  RIR 2
  A2 Machine Triceps Extension: 2 × 15–20  RIR 2</t>
        </is>
      </c>
      <c r="O23" s="2" t="inlineStr">
        <is>
          <t>You're low on energy, so today stays on stable, approachable movements at a comfortable effort: leaving out the higher-cost accessories and keeping the structure simple. As a newer lifter, you get approachable movements and two reps in reserve on the main work; the progress comes from adding load, not from grinding. For muscle, the volume lives in the accessories: 2 movements at moderate reps behind Incline Dumbbell Press.</t>
        </is>
      </c>
      <c r="P23" s="2" t="inlineStr">
        <is>
          <t>Session: Upper Push, variant efficient, 4 exercises, 10 working sets, est. 26.4 min for a 30-minute request; primary Incline Dumbbell Press 3 × 6–8 RIR 2; 1 superset(s), device none, methods none, finisher none.
[le_beginner] Beginner Low Energy: ['complexity_or_systemic_cap']; supported movements 4/4; total sets 10.
[level] Beginner: ['beginner bands: every lift keeps 2+ reps in reserve, no exercise above 3 sets', 'beginner-rated, low-complexity movements only', 'no advanced set methods'].
[goal] Goal build_muscle: ['2 accessory movements behind the main lift, 4 accessory sets in the 10–20 range'].
Coherence low_energy: PASS
Compound redundancy trimmed (family limit 1): db_shoulder_press 3 × 10–12 → 3 × 10–12</t>
        </is>
      </c>
      <c r="Q23" s="2" t="inlineStr">
        <is>
          <t>state = low_energy (expression: simplify) → intended: reduce_training_cost → realized: Efficient instead of Compound + Paired Accessories; Cable Fly out (complexity / systemic cost)
experience = beginner → intended: match_programming_vocabulary_to_level → realized: beginner bands: every lift keeps 2+ reps in reserve, no exercise above 3 sets; beginner-rated, low-complexity movements only; no advanced set methods
goal = build_muscle → intended: hypertrophy_volume_and_accessories → realized: 2 accessory movements behind the main lift, 4 accessory sets in the 10–20 range
duration = 30 → intended: fill_the_requested_time_with_useful_work → realized: filled toward the requested time: slot_added Pec Deck; 30-minute session: 4 exercises, 10 working sets, main work kept; estimated 26.4 min for a 30-minute request
equipment = commercial_gym → intended: availability_only → realized: nothing (no claim made)
history = first session → intended: rotate_shape_and_movements_keep_the_main_lift → realized: nothing (no claim made)</t>
        </is>
      </c>
      <c r="R23" s="2" t="inlineStr">
        <is>
          <t>Coherence low_energy: PASS</t>
        </is>
      </c>
      <c r="S23" s="2" t="n"/>
      <c r="T23" s="2" t="n"/>
    </row>
    <row r="24">
      <c r="A24" s="2" t="n">
        <v>23</v>
      </c>
      <c r="B24" s="2" t="inlineStr">
        <is>
          <t>Founder test 23: 30 · Amped · beginner · build muscle · Lower Body: Squat</t>
        </is>
      </c>
      <c r="C24" s="2" t="inlineStr">
        <is>
          <t>amped</t>
        </is>
      </c>
      <c r="D24" s="2" t="inlineStr">
        <is>
          <t>beginner</t>
        </is>
      </c>
      <c r="E24" s="2" t="inlineStr">
        <is>
          <t>Build muscle</t>
        </is>
      </c>
      <c r="F24" s="2" t="n">
        <v>30</v>
      </c>
      <c r="G24" s="2" t="inlineStr">
        <is>
          <t>Lower Body: Squat</t>
        </is>
      </c>
      <c r="H24" s="2" t="inlineStr">
        <is>
          <t>none</t>
        </is>
      </c>
      <c r="I24" s="2" t="inlineStr">
        <is>
          <t>Lower Body: Squat</t>
        </is>
      </c>
      <c r="J24" s="2" t="inlineStr">
        <is>
          <t>Efficient</t>
        </is>
      </c>
      <c r="K24" s="2" t="n">
        <v>27.8</v>
      </c>
      <c r="L24" s="2" t="n">
        <v>9</v>
      </c>
      <c r="M24" s="2" t="inlineStr"/>
      <c r="N24" s="2" t="inlineStr">
        <is>
          <t>Hack Squat: 4 × 6–8  RIR 2  rest 120 s
Box Step-Up (Glute Bias): 3 × 10–12/side  RIR 2  rest 90 s
Leg Extension: 2 × 15–20  RIR 2  rest 45 s</t>
        </is>
      </c>
      <c r="O24" s="2" t="inlineStr">
        <is>
          <t>You're amped, so we're using it the way a good coach would for a newer lifter: adding a working set to Hack Squat, still with reps in reserve on every set. Your muscle goal is why 1 accessory movement sits behind the main lifts at moderate reps.</t>
        </is>
      </c>
      <c r="P24" s="2" t="inlineStr">
        <is>
          <t>Session: Lower Body: Squat, variant efficient, 3 exercises, 9 working sets, est. 27.8 min for a 30-minute request; primary Hack Squat 4 × 6–8 RIR 2; 0 superset(s), device none, methods none, finisher none.
[amped_beginner] Beginner Amped: realized ['volume']; min RIR 2; no RIR-0 finisher.
[goal] Goal build_muscle: ['1 accessory movement behind the main lift, 2 accessory sets in the 10–20 range'].
Coherence amped: PASS</t>
        </is>
      </c>
      <c r="Q24" s="2" t="inlineStr">
        <is>
          <t>state = amped (expression: extra_set_paired) → intended: use_readiness_productively → realized: Hack Squat 3→4 sets
experience = beginner → intended: match_programming_vocabulary_to_level → realized: beginner bands: every lift keeps 2+ reps in reserve, no exercise above 4 sets; beginner-rated, low-complexity movements only; no advanced set methods
goal = build_muscle → intended: hypertrophy_volume_and_accessories → realized: 1 accessory movement behind the main lift, 2 accessory sets in the 10–20 range
duration = 30 → intended: fill_the_requested_time_with_useful_work → realized: 30-minute session: 3 exercises, 9 working sets, main work kept; estimated 27.8 min for a 30-minute request
equipment = commercial_gym → intended: availability_only → realized: nothing (no claim made)
history = first session → intended: rotate_shape_and_movements_keep_the_main_lift → realized: nothing (no claim made)</t>
        </is>
      </c>
      <c r="R24" s="2" t="inlineStr">
        <is>
          <t>Coherence amped: PASS</t>
        </is>
      </c>
      <c r="S24" s="2" t="n"/>
      <c r="T24" s="2" t="n"/>
    </row>
    <row r="25">
      <c r="A25" s="2" t="n">
        <v>24</v>
      </c>
      <c r="B25" s="2" t="inlineStr">
        <is>
          <t>Founder test 24: 30 · Amped + Stressed · intermediate · build strength · Upper Pull</t>
        </is>
      </c>
      <c r="C25" s="2" t="inlineStr">
        <is>
          <t>amped, stressed</t>
        </is>
      </c>
      <c r="D25" s="2" t="inlineStr">
        <is>
          <t>intermediate</t>
        </is>
      </c>
      <c r="E25" s="2" t="inlineStr">
        <is>
          <t>Build strength</t>
        </is>
      </c>
      <c r="F25" s="2" t="n">
        <v>30</v>
      </c>
      <c r="G25" s="2" t="inlineStr">
        <is>
          <t>Upper Pull</t>
        </is>
      </c>
      <c r="H25" s="2" t="inlineStr">
        <is>
          <t>none</t>
        </is>
      </c>
      <c r="I25" s="2" t="inlineStr">
        <is>
          <t>Upper Pull</t>
        </is>
      </c>
      <c r="J25" s="2" t="inlineStr">
        <is>
          <t>Efficient</t>
        </is>
      </c>
      <c r="K25" s="2" t="n">
        <v>25.3</v>
      </c>
      <c r="L25" s="2" t="n">
        <v>8</v>
      </c>
      <c r="M25" s="2" t="inlineStr">
        <is>
          <t>slow_eccentric</t>
        </is>
      </c>
      <c r="N25" s="2" t="inlineStr">
        <is>
          <t>Chest-Supported Machine Row: 3 × 5–7  RIR 1  rest 180 s
Pull-Up: 3 × 8–10 · 3 s eccentric  RIR 2  (Take 3 s to lower every rep, then lift at normal speed. Stop each set with about 2 reps left in the tank.)  rest 105 s
Barbell Curl: 2 × 10–12  RIR 1  rest 45 s</t>
        </is>
      </c>
      <c r="O25" s="2" t="inlineStr">
        <is>
          <t>You're amped but stressed, so instead of making the workout busier we're putting that extra energy into more from the main lifts while keeping the structure straight and predictable and the rest unhurried. As an intermediate lifter, 3 s eccentric on Pull-Up is on the table. Strength is the goal, so Chest-Supported Machine Row gets the priority and full rest; everything else supports it.</t>
        </is>
      </c>
      <c r="P25" s="2" t="inlineStr">
        <is>
          <t>Session: Upper Pull, variant efficient, 3 exercises, 8 working sets, est. 25.3 min for a 30-minute request; primary Chest-Supported Machine Row 3 × 5–7 RIR 1; 0 superset(s), device none, methods ['3 s eccentric on Pull-Up'], finisher none.
[amped_stressed] Amped + Stressed resolved as effort up, complexity down: Amped realized ['rir'], Stressed realized ['rest']; 0 superset(s), variant efficient, primary RIR 1.
[level] Intermediate: ['3 s eccentric on Pull-Up (intermediate and up)', 'intermediate pool: Pull-Up'].
[goal] Goal build_strength: ['Chest-Supported Machine Row at 5–7 with full 180 s rest'].
Coherence amped: PASS
Coherence stressed: PASS
Within a rep of failure: Chest-Supported Machine Row, Barbell Curl.</t>
        </is>
      </c>
      <c r="Q25" s="2" t="inlineStr">
        <is>
          <t>state = amped (expression: top_set) → intended: use_readiness_productively → realized: Chest-Supported Machine Row RIR 2→1
state = stressed (expression: predictable) → intended: reduce_cognitive_load → realized: Chest-Supported Machine Row rest 150→180 s; Pull-Up rest 90→105 s; 3 s eccentric on Pull-Up
experience = intermediate → intended: match_programming_vocabulary_to_level → realized: 3 s eccentric on Pull-Up (intermediate and up); intermediate pool: Pull-Up
goal = build_strength → intended: primary_emphasis_heavier_longer_rest → realized: Chest-Supported Machine Row at 5–7 with full 180 s rest
duration = 30 → intended: fill_the_requested_time_with_useful_work → realized: 30-minute session: 3 exercises, 8 working sets, main work kept; estimated 25.3 min for a 30-minute request
equipment = commercial_gym → intended: availability_only → realized: nothing (no claim made)
history = first session → intended: rotate_shape_and_movements_keep_the_main_lift → realized: nothing (no claim made)</t>
        </is>
      </c>
      <c r="R25" s="2" t="inlineStr">
        <is>
          <t>Coherence amped: PASS
Coherence stressed: PASS</t>
        </is>
      </c>
      <c r="S25" s="2" t="n"/>
      <c r="T25" s="2" t="n"/>
    </row>
    <row r="26">
      <c r="A26" s="2" t="n">
        <v>25</v>
      </c>
      <c r="B26" s="2" t="inlineStr">
        <is>
          <t>Founder test 25: 30 · Bored · intermediate · build muscle · Glutes + Legs</t>
        </is>
      </c>
      <c r="C26" s="2" t="inlineStr">
        <is>
          <t>bored</t>
        </is>
      </c>
      <c r="D26" s="2" t="inlineStr">
        <is>
          <t>intermediate</t>
        </is>
      </c>
      <c r="E26" s="2" t="inlineStr">
        <is>
          <t>Build muscle</t>
        </is>
      </c>
      <c r="F26" s="2" t="n">
        <v>30</v>
      </c>
      <c r="G26" s="2" t="inlineStr">
        <is>
          <t>Glutes + Legs</t>
        </is>
      </c>
      <c r="H26" s="2" t="inlineStr">
        <is>
          <t>none</t>
        </is>
      </c>
      <c r="I26" s="2" t="inlineStr">
        <is>
          <t>Glutes + Legs</t>
        </is>
      </c>
      <c r="J26" s="2" t="inlineStr">
        <is>
          <t>Compound + Paired Accessories</t>
        </is>
      </c>
      <c r="K26" s="2" t="n">
        <v>30.2</v>
      </c>
      <c r="L26" s="2" t="n">
        <v>12</v>
      </c>
      <c r="M26" s="2" t="inlineStr">
        <is>
          <t>rest_pause</t>
        </is>
      </c>
      <c r="N26" s="2" t="inlineStr">
        <is>
          <t>Barbell Hip Thrust: 3 × 5–7  RIR 2  rest 150 s
Trap-Bar Deadlift: 3 × 8–10  RIR 2  rest 120 s
SUPERSET A (3 rounds, rest 60 s after each round)
  A1 Frog Pump: 3 × 12–15 · rest-pause on the final set  RIR 1  (On the last set, hit the reps, rest 15 s, then add as many clean reps as you can. Stop each set with about 1 rep left in the tank.)
  A2 Sissy Squat: 3 × 12–15  RIR 1</t>
        </is>
      </c>
      <c r="O26" s="2" t="inlineStr">
        <is>
          <t>You're bored today, so we're changing the feel with rest-pause on the final set on the Frog Pump, bringing in 1 less-familiar movement and changing the shape of the session to Compound + Paired Accessories. As an intermediate lifter, rest-pause on the final set on Frog Pump is on the table. Your muscle goal is why 2 accessory movements sit behind the main lifts at moderate reps.</t>
        </is>
      </c>
      <c r="P26" s="2" t="inlineStr">
        <is>
          <t>Session: Glutes + Legs, variant paired, 4 exercises, 12 working sets, est. 30.2 min for a 30-minute request; primary Barbell Hip Thrust 3 × 5–7 RIR 2; 1 superset(s), device none, methods ['rest-pause on the final set on Frog Pump'], finisher none.
[bored] Bored realized ['structure', 'exercises', 'set_method']; novel movements ['Frog Pump', 'Sissy Squat'].
[level] Intermediate: ['rest-pause on the final set on Frog Pump (intermediate and up)', 'intermediate pool: Trap-Bar Deadlift, Sissy Squat'].
[goal] Goal build_muscle: ['Compound + Paired Accessories shape (muscle goal weights it up)', '2 accessory movements behind the main lift, 6 accessory sets in the 10–20 range', 'rest-pause on the final set on Frog Pump'].
Coherence bored: PASS
Within a rep of failure: Frog Pump, Sissy Squat.
Demanding compounds (systemic 4+): Trap-Bar Deadlift.</t>
        </is>
      </c>
      <c r="Q26" s="2" t="inlineStr">
        <is>
          <t>state = bored (expression: new_structure) → intended: refresh_the_experience → realized: rest-pause on the final set on Frog Pump; Compound + Paired Accessories instead of Traditional; Cable Glute Kickback → Frog Pump
experience = intermediate → intended: match_programming_vocabulary_to_level → realized: rest-pause on the final set on Frog Pump (intermediate and up); intermediate pool: Trap-Bar Deadlift, Sissy Squat
goal = build_muscle → intended: hypertrophy_volume_and_accessories → realized: Compound + Paired Accessories shape (muscle goal weights it up); 2 accessory movements behind the main lift, 6 accessory sets in the 10–20 range; rest-pause on the final set on Frog Pump
duration = 30 → intended: fill_the_requested_time_with_useful_work → realized: 30-minute session: 4 exercises, 12 working sets, main work kept; estimated 30.2 min for a 30-minute request
equipment = commercial_gym → intended: availability_only → realized: nothing (no claim made)
history = first session → intended: rotate_shape_and_movements_keep_the_main_lift → realized: nothing (no claim made)</t>
        </is>
      </c>
      <c r="R26" s="2" t="inlineStr">
        <is>
          <t>Coherence bored: PASS</t>
        </is>
      </c>
      <c r="S26" s="2" t="n"/>
      <c r="T26" s="2" t="n"/>
    </row>
    <row r="27">
      <c r="A27" s="2" t="n">
        <v>26</v>
      </c>
      <c r="B27" s="2" t="inlineStr">
        <is>
          <t>Founder test 26: 30 · Bored · beginner · build muscle · Upper Pull (beginner methods)</t>
        </is>
      </c>
      <c r="C27" s="2" t="inlineStr">
        <is>
          <t>bored</t>
        </is>
      </c>
      <c r="D27" s="2" t="inlineStr">
        <is>
          <t>beginner</t>
        </is>
      </c>
      <c r="E27" s="2" t="inlineStr">
        <is>
          <t>Build muscle</t>
        </is>
      </c>
      <c r="F27" s="2" t="n">
        <v>30</v>
      </c>
      <c r="G27" s="2" t="inlineStr">
        <is>
          <t>Upper Pull</t>
        </is>
      </c>
      <c r="H27" s="2" t="inlineStr">
        <is>
          <t>none</t>
        </is>
      </c>
      <c r="I27" s="2" t="inlineStr">
        <is>
          <t>Upper Pull</t>
        </is>
      </c>
      <c r="J27" s="2" t="inlineStr">
        <is>
          <t>Compound + Paired Accessories</t>
        </is>
      </c>
      <c r="K27" s="2" t="n">
        <v>28.4</v>
      </c>
      <c r="L27" s="2" t="n">
        <v>10</v>
      </c>
      <c r="M27" s="2" t="inlineStr">
        <is>
          <t>slow_eccentric</t>
        </is>
      </c>
      <c r="N27" s="2" t="inlineStr">
        <is>
          <t>Chest-Supported Machine Row: 3 × 6–8  RIR 2  rest 135 s
Neutral-Grip Lat Pulldown: 3 × 10–12 · 3 s eccentric  RIR 2  (Take 3 s to lower every rep, then lift at normal speed. Stop each set with about 2 reps left in the tank.)  rest 120 s
SUPERSET A (2 rounds, rest 60 s after each round)
  A1 Dumbbell Pullover: 2 × 15–20  RIR 2
  A2 Spider Curl: 2 × 15–20  RIR 2</t>
        </is>
      </c>
      <c r="O27" s="2" t="inlineStr">
        <is>
          <t>You're bored today, so we're changing the shape of the session to Compound + Paired Accessories. Since you're newer to lifting, the movements stay approachable and the main work keeps at least two reps in reserve. For muscle, the volume lives in the accessories: 2 movements at moderate reps behind Chest-Supported Machine Row.</t>
        </is>
      </c>
      <c r="P27" s="2" t="inlineStr">
        <is>
          <t>Session: Upper Pull, variant paired, 4 exercises, 10 working sets, est. 28.4 min for a 30-minute request; primary Chest-Supported Machine Row 3 × 6–8 RIR 2; 1 superset(s), device none, methods ['3 s eccentric on Neutral-Grip Lat Pulldown'], finisher none.
[bored] Bored realized ['structure']; novel movements ['Dumbbell Pullover', 'Spider Curl'].
[level] Beginner: ['beginner bands: every lift keeps 2+ reps in reserve, no exercise above 3 sets', 'beginner-rated, low-complexity movements only'].
[goal] Goal build_muscle: ['Compound + Paired Accessories shape (muscle goal weights it up)', '2 accessory movements behind the main lift, 4 accessory sets in the 10–20 range', '3 s eccentric on Neutral-Grip Lat Pulldown'].
Coherence bored: PASS</t>
        </is>
      </c>
      <c r="Q27" s="2" t="inlineStr">
        <is>
          <t>state = bored (expression: fresh_finish) → intended: refresh_the_experience → realized: Compound + Paired Accessories instead of Traditional
experience = beginner → intended: match_programming_vocabulary_to_level → realized: beginner bands: every lift keeps 2+ reps in reserve, no exercise above 3 sets; beginner-rated, low-complexity movements only
goal = build_muscle → intended: hypertrophy_volume_and_accessories → realized: Compound + Paired Accessories shape (muscle goal weights it up); 2 accessory movements behind the main lift, 4 accessory sets in the 10–20 range; 3 s eccentric on Neutral-Grip Lat Pulldown
duration = 30 → intended: fill_the_requested_time_with_useful_work → realized: trimmed to fit: set_removed; 30-minute session: 4 exercises, 10 working sets, main work kept; estimated 28.4 min for a 30-minute request
equipment = commercial_gym → intended: availability_only → realized: nothing (no claim made)
history = first session → intended: rotate_shape_and_movements_keep_the_main_lift → realized: nothing (no claim made)</t>
        </is>
      </c>
      <c r="R27" s="2" t="inlineStr">
        <is>
          <t>Coherence bored: PASS</t>
        </is>
      </c>
      <c r="S27" s="2" t="n"/>
      <c r="T27" s="2" t="n"/>
    </row>
    <row r="28">
      <c r="A28" s="2" t="n">
        <v>27</v>
      </c>
      <c r="B28" s="2" t="inlineStr">
        <is>
          <t>Founder test 27: 30 · Core · intermediate · Low Energy</t>
        </is>
      </c>
      <c r="C28" s="2" t="inlineStr">
        <is>
          <t>low_energy</t>
        </is>
      </c>
      <c r="D28" s="2" t="inlineStr">
        <is>
          <t>intermediate</t>
        </is>
      </c>
      <c r="E28" s="2" t="inlineStr">
        <is>
          <t>Build muscle</t>
        </is>
      </c>
      <c r="F28" s="2" t="n">
        <v>30</v>
      </c>
      <c r="G28" s="2" t="inlineStr">
        <is>
          <t>Core</t>
        </is>
      </c>
      <c r="H28" s="2" t="inlineStr">
        <is>
          <t>none</t>
        </is>
      </c>
      <c r="I28" s="2" t="inlineStr">
        <is>
          <t>Core</t>
        </is>
      </c>
      <c r="J28" s="2" t="inlineStr">
        <is>
          <t>Traditional</t>
        </is>
      </c>
      <c r="K28" s="2" t="n">
        <v>26.7</v>
      </c>
      <c r="L28" s="2" t="n">
        <v>10</v>
      </c>
      <c r="M28" s="2" t="inlineStr"/>
      <c r="N28" s="2" t="inlineStr">
        <is>
          <t>Half-Kneeling Single-Arm Landmine Press: 3 × 8–10/side  RIR 3  (Stop each set with about 3 reps left in the tank.)  rest 105 s
Weighted Plank: 3 × 30–45 sec  RIR 2  rest 60 s
Pallof Press: 2 × 10–12/side  RIR 2  rest 60 s
Captain's Chair Knee Raise: 2 × 10–12  RIR 2  rest 60 s</t>
        </is>
      </c>
      <c r="O28" s="2" t="inlineStr">
        <is>
          <t>You're low on energy today, so we're keeping you further from failure, leaning into stable, low-friction movements and trimming accessory volume. A short Core session: a loaded bracing lift, anti-extension, anti-rotation and lateral stability and loaded flexion, Core first and last.</t>
        </is>
      </c>
      <c r="P28" s="2" t="inlineStr">
        <is>
          <t>Session: Core, variant traditional, 4 exercises, 10 working sets, est. 26.7 min for a 30-minute request; primary none (no primary compound in this archetype); 0 superset(s), device none, methods none, finisher none.
[le] Low Energy realized ['rir', 'volume', 'exercises']; total sets 10, avg RIR raised, near failure [].
[core_focus] Core-focused session: categories ['brace_load', 'anti_extension', 'anti_rotation', 'flexion']; direct trunk work 3, loaded bracing 1; est 26.7 min for 30.
Coherence low_energy: PASS</t>
        </is>
      </c>
      <c r="Q28" s="2" t="inlineStr">
        <is>
          <t>state = low_energy (expression: cost_down) → intended: reduce_training_cost → realized: Half-Kneeling Single-Arm Landmine Press RIR 2→3; Weighted Plank RIR 1→2; Pallof Press RIR 1→2; Captain's Chair Knee Raise RIR 1→2; Captain's Chair Knee Raise 3→2 sets; Pallof Press 3→2 sets; Half-Kneeling Single-Arm Landmine Press (new vs no-State build)
experience = intermediate → intended: match_programming_vocabulary_to_level → realized: nothing (no claim made)
goal = build_muscle → intended: hypertrophy_volume_and_accessories → realized: 3 accessory movements, 7 accessory sets in the 10–20 range
duration = 30 → intended: fill_the_requested_time_with_useful_work → realized: 30-minute session: 4 exercises, 10 working sets, main work kept; estimated 26.7 min for a 30-minute request
equipment = commercial_gym → intended: availability_only → realized: nothing (no claim made)
history = first session → intended: rotate_shape_and_movements_keep_the_main_lift → realized: nothing (no claim made)</t>
        </is>
      </c>
      <c r="R28" s="2" t="inlineStr">
        <is>
          <t>Coherence low_energy: PASS</t>
        </is>
      </c>
      <c r="S28" s="2" t="n"/>
      <c r="T28" s="2" t="n"/>
    </row>
    <row r="29">
      <c r="A29" s="2" t="n">
        <v>28</v>
      </c>
      <c r="B29" s="2" t="inlineStr">
        <is>
          <t>Founder test 28: 30 · Core · beginner · Amped</t>
        </is>
      </c>
      <c r="C29" s="2" t="inlineStr">
        <is>
          <t>amped</t>
        </is>
      </c>
      <c r="D29" s="2" t="inlineStr">
        <is>
          <t>beginner</t>
        </is>
      </c>
      <c r="E29" s="2" t="inlineStr">
        <is>
          <t>Build muscle</t>
        </is>
      </c>
      <c r="F29" s="2" t="n">
        <v>30</v>
      </c>
      <c r="G29" s="2" t="inlineStr">
        <is>
          <t>Core</t>
        </is>
      </c>
      <c r="H29" s="2" t="inlineStr">
        <is>
          <t>none</t>
        </is>
      </c>
      <c r="I29" s="2" t="inlineStr">
        <is>
          <t>Core</t>
        </is>
      </c>
      <c r="J29" s="2" t="inlineStr">
        <is>
          <t>Traditional</t>
        </is>
      </c>
      <c r="K29" s="2" t="n">
        <v>25.6</v>
      </c>
      <c r="L29" s="2" t="n">
        <v>9</v>
      </c>
      <c r="M29" s="2" t="inlineStr"/>
      <c r="N29" s="2" t="inlineStr">
        <is>
          <t>Half-Kneeling Single-Arm Landmine Press: 3 × 8–10/side  RIR 2  rest 105 s
Weighted Plank: 2 × 30–45 sec  RIR 2  rest 60 s
Pallof Press: 2 × 12–15/side  RIR 2  rest 60 s
Captain's Chair Knee Raise: 2 × 12–15  RIR 2  rest 60 s</t>
        </is>
      </c>
      <c r="O29" s="2" t="inlineStr">
        <is>
          <t>You're amped, so we're using it the way a good coach would for a newer lifter: pushing the main lifts to the heavy end of their range, still with reps in reserve on every set. A short Core session: a loaded bracing lift, anti-extension, anti-rotation and lateral stability and loaded flexion, Core first and last.</t>
        </is>
      </c>
      <c r="P29" s="2" t="inlineStr">
        <is>
          <t>Session: Core, variant traditional, 4 exercises, 9 working sets, est. 25.6 min for a 30-minute request; primary none (no primary compound in this archetype); 0 superset(s), device none, methods none, finisher none.
[amped_beginner] Beginner Amped: realized ['reps']; min RIR 2; no RIR-0 finisher.
[core_focus] Core-focused session: categories ['brace_load', 'anti_extension', 'anti_rotation', 'flexion']; direct trunk work 3, loaded bracing 1; est 25.6 min for 30.
Coherence amped: PASS</t>
        </is>
      </c>
      <c r="Q29" s="2" t="inlineStr">
        <is>
          <t>state = amped (expression: heavy_end) → intended: use_readiness_productively → realized: Half-Kneeling Single-Arm Landmine Press 10–12/side→8–10/side
experience = beginner → intended: match_programming_vocabulary_to_level → realized: beginner bands: every lift keeps 2+ reps in reserve, no exercise above 3 sets; beginner-rated, low-complexity movements only; no advanced set methods
goal = build_muscle → intended: hypertrophy_volume_and_accessories → realized: 3 accessory movements, 6 accessory sets in the 10–20 range
duration = 30 → intended: fill_the_requested_time_with_useful_work → realized: 30-minute session: 4 exercises, 9 working sets, main work kept; estimated 25.6 min for a 30-minute request
equipment = commercial_gym → intended: availability_only → realized: nothing (no claim made)
history = first session → intended: rotate_shape_and_movements_keep_the_main_lift → realized: nothing (no claim made)</t>
        </is>
      </c>
      <c r="R29" s="2" t="inlineStr">
        <is>
          <t>Coherence amped: PASS</t>
        </is>
      </c>
      <c r="S29" s="2" t="n"/>
      <c r="T29" s="2" t="n"/>
    </row>
    <row r="30">
      <c r="A30" s="2" t="n">
        <v>29</v>
      </c>
      <c r="B30" s="2" t="inlineStr">
        <is>
          <t>Founder test 29: 30 · Low Energy · advanced · build strength · Upper Push</t>
        </is>
      </c>
      <c r="C30" s="2" t="inlineStr">
        <is>
          <t>low_energy</t>
        </is>
      </c>
      <c r="D30" s="2" t="inlineStr">
        <is>
          <t>advanced</t>
        </is>
      </c>
      <c r="E30" s="2" t="inlineStr">
        <is>
          <t>Build strength</t>
        </is>
      </c>
      <c r="F30" s="2" t="n">
        <v>30</v>
      </c>
      <c r="G30" s="2" t="inlineStr">
        <is>
          <t>Upper Push</t>
        </is>
      </c>
      <c r="H30" s="2" t="inlineStr">
        <is>
          <t>none</t>
        </is>
      </c>
      <c r="I30" s="2" t="inlineStr">
        <is>
          <t>Upper Push</t>
        </is>
      </c>
      <c r="J30" s="2" t="inlineStr">
        <is>
          <t>Efficient</t>
        </is>
      </c>
      <c r="K30" s="2" t="n">
        <v>26</v>
      </c>
      <c r="L30" s="2" t="n">
        <v>9</v>
      </c>
      <c r="M30" s="2" t="inlineStr"/>
      <c r="N30" s="2" t="inlineStr">
        <is>
          <t>Barbell Bench Press: 4 × 4–6  RIR 2  rest 150 s
Parallel Bar Dip: 3 × 8–10  RIR 3  (Stop each set with about 3 reps left in the tank.)  rest 90 s
Machine Triceps Extension: 2 × 10–12  RIR 2  rest 45 s</t>
        </is>
      </c>
      <c r="O30" s="2" t="inlineStr">
        <is>
          <t>You're low on energy, but strength is still the goal, so we're keeping one meaningful heavy stimulus (Barbell Bench Press) instead of watering the session down. The rest of the workout stays simpler and further from failure so you train productively without turning it into a grind.</t>
        </is>
      </c>
      <c r="P30" s="2" t="inlineStr">
        <is>
          <t>Session: Upper Push, variant efficient, 3 exercises, 9 working sets, est. 26.0 min for a 30-minute request; primary Barbell Bench Press 4 × 4–6 RIR 2; 0 superset(s), device none, methods none, finisher none.
[le_strength] Low Energy + build_strength: primary kept heavy (reps 4–6, RIR 2); cost lowered around it via ['rir', 'exercises']; total sets 9, near failure [].
Coherence low_energy: PASS</t>
        </is>
      </c>
      <c r="Q30" s="2" t="inlineStr">
        <is>
          <t>state = low_energy (expression: cost_down) → intended: reduce_training_cost → realized: Barbell Bench Press RIR 1→2; Parallel Bar Dip RIR 2→3; Machine Triceps Extension RIR 1→2; Efficient instead of Heavy Primary; Single-Arm Cable Triceps Extension → Machine Triceps Extension
experience = advanced → intended: match_programming_vocabulary_to_level → realized: higher-complexity movements kept in: Barbell Bench Press, Parallel Bar Dip
goal = build_strength → intended: primary_emphasis_heavier_longer_rest → realized: Barbell Bench Press at 4–6 with 150 s rest
duration = 30 → intended: fill_the_requested_time_with_useful_work → realized: 30-minute session: 3 exercises, 9 working sets, main work kept; estimated 26.0 min for a 30-minute request
equipment = commercial_gym → intended: availability_only → realized: nothing (no claim made)
history = first session → intended: rotate_shape_and_movements_keep_the_main_lift → realized: nothing (no claim made)</t>
        </is>
      </c>
      <c r="R30" s="2" t="inlineStr">
        <is>
          <t>Coherence low_energy: PASS</t>
        </is>
      </c>
      <c r="S30" s="2" t="n"/>
      <c r="T30" s="2" t="n"/>
    </row>
    <row r="31">
      <c r="A31" s="2" t="n">
        <v>30</v>
      </c>
      <c r="B31" s="2" t="inlineStr">
        <is>
          <t>Founder test 30: 30 · Stressed · intermediate · stay consistent · Full Body</t>
        </is>
      </c>
      <c r="C31" s="2" t="inlineStr">
        <is>
          <t>stressed</t>
        </is>
      </c>
      <c r="D31" s="2" t="inlineStr">
        <is>
          <t>intermediate</t>
        </is>
      </c>
      <c r="E31" s="2" t="inlineStr">
        <is>
          <t>Stay consistent</t>
        </is>
      </c>
      <c r="F31" s="2" t="n">
        <v>30</v>
      </c>
      <c r="G31" s="2" t="inlineStr">
        <is>
          <t>Full Body</t>
        </is>
      </c>
      <c r="H31" s="2" t="inlineStr">
        <is>
          <t>none</t>
        </is>
      </c>
      <c r="I31" s="2" t="inlineStr">
        <is>
          <t>Full Body</t>
        </is>
      </c>
      <c r="J31" s="2" t="inlineStr">
        <is>
          <t>Traditional</t>
        </is>
      </c>
      <c r="K31" s="2" t="n">
        <v>29.8</v>
      </c>
      <c r="L31" s="2" t="n">
        <v>9</v>
      </c>
      <c r="M31" s="2" t="inlineStr"/>
      <c r="N31" s="2" t="inlineStr">
        <is>
          <t>Barbell Romanian Deadlift: 3 × 5–7  RIR 2  rest 180 s
Dumbbell Thruster: 3 × 8–10  RIR 2  rest 120 s
Pull-Up: 3 × 8–10  RIR 2  rest 120 s</t>
        </is>
      </c>
      <c r="O31" s="2" t="inlineStr">
        <is>
          <t>You're stressed today, so the session runs on autopilot: a simple, predictable structure and unhurried rest. The session stays balanced rather than specialised, which is the point of a consistency goal.</t>
        </is>
      </c>
      <c r="P31" s="2" t="inlineStr">
        <is>
          <t>Session: Full Body, variant traditional, 3 exercises, 9 working sets, est. 29.8 min for a 30-minute request; primary Barbell Romanian Deadlift 3 × 5–7 RIR 2; 0 superset(s), device none, methods none, finisher none.
[stressed] Stressed realized ['structure', 'rest']; variant traditional, pairs 0, device None, methods []; physical stimulus kept: False.
[goal] Goal stay_consistent: ['balanced session shape, no specialization'].
Coherence stressed: PASS
Demanding compounds (systemic 4+): Barbell Romanian Deadlift, Dumbbell Thruster.</t>
        </is>
      </c>
      <c r="Q31" s="2" t="inlineStr">
        <is>
          <t>state = stressed (expression: predictable) → intended: reduce_cognitive_load → realized: Barbell Romanian Deadlift rest 150→180 s; Dumbbell Thruster rest 105→120 s; Pull-Up rest 105→120 s; Traditional instead of Compound + Paired Accessories
experience = intermediate → intended: match_programming_vocabulary_to_level → realized: intermediate pool: Barbell Romanian Deadlift, Dumbbell Thruster, Pull-Up
goal = stay_consistent → intended: balanced_general_strength → realized: balanced session shape, no specialization
duration = 30 → intended: fill_the_requested_time_with_useful_work → realized: trimmed to fit: accessory_rest_shortened, slot_removed; 30-minute session: 3 exercises, 9 working sets, main work kept; estimated 29.8 min for a 30-minute request
equipment = commercial_gym → intended: availability_only → realized: nothing (no claim made)
history = first session → intended: rotate_shape_and_movements_keep_the_main_lift → realized: nothing (no claim made)</t>
        </is>
      </c>
      <c r="R31" s="2" t="inlineStr">
        <is>
          <t>Coherence stressed: PASS</t>
        </is>
      </c>
      <c r="S31" s="2" t="n"/>
      <c r="T31"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60" customWidth="1" min="3" max="3"/>
    <col width="60" customWidth="1" min="4" max="4"/>
    <col width="10" customWidth="1" min="5" max="5"/>
    <col width="40" customWidth="1" min="6" max="6"/>
  </cols>
  <sheetData>
    <row r="1">
      <c r="A1" s="1" t="inlineStr">
        <is>
          <t>Case</t>
        </is>
      </c>
      <c r="B1" s="1" t="inlineStr">
        <is>
          <t>Context</t>
        </is>
      </c>
      <c r="C1" s="1" t="inlineStr">
        <is>
          <t>Legacy (Phase 2.6)</t>
        </is>
      </c>
      <c r="D1" s="1" t="inlineStr">
        <is>
          <t>Rebuilt core</t>
        </is>
      </c>
      <c r="E1" s="1" t="inlineStr">
        <is>
          <t>Rating (1-5)</t>
        </is>
      </c>
      <c r="F1" s="1" t="inlineStr">
        <is>
          <t>Notes</t>
        </is>
      </c>
    </row>
    <row r="2">
      <c r="A2" s="2" t="inlineStr">
        <is>
          <t>Upper Push, 60, intermediate, build muscle</t>
        </is>
      </c>
      <c r="B2" s="2" t="inlineStr">
        <is>
          <t>State(s): none · level: intermediate · goal: Build muscle · 60 min · target: Upper Push · soreness: none · equipment: commercial_gym · history: first session</t>
        </is>
      </c>
      <c r="C2" s="2" t="inlineStr">
        <is>
          <t>strength_upper_push · est. 42.0 min
  Dumbbell Bench Press: 4 × 8  RIR 2  rest 120 s
  Parallel Bar Dip: 3 × 10  RIR 2  rest 90 s
  Plate-Loaded Incline Press: 3 × 10  RIR 2  rest 90 s
  Cable Fly: 2 × 12  RIR 1  rest 60 s
  Cable Triceps Pressdown: 2 × 12  RIR 1  rest 60 s
  Dumbbell Skull Crusher: 2 × 12  RIR 1  rest 60 s</t>
        </is>
      </c>
      <c r="D2" s="2" t="inlineStr">
        <is>
          <t>Upper Push · Compound + Paired Accessories · est. 59.3 min
Barbell Bench Press: 4 × 5–7  RIR 2  rest 180 s
Parallel Bar Dip: 4 × 8–10  RIR 2  rest 120 s
Smith Machine Incline Press: 4 × 8–10  RIR 2  rest 120 s
SUPERSET A (4 rounds, rest 60 s after each round)
  A1 Dumbbell Fly: 4 × 12–15  RIR 1
  A2 Cable Triceps Pressdown: 4 × 12–15  RIR 1
EZ-Bar Skull Crusher: 4 × 12–15  RIR 1  rest 60 s
WHY: For muscle, the volume lives in the accessories: 3 movements at moderate reps behind Barbell Bench Press.</t>
        </is>
      </c>
      <c r="E2" s="2" t="n"/>
      <c r="F2" s="2" t="n"/>
    </row>
    <row r="3">
      <c r="A3" s="2" t="inlineStr">
        <is>
          <t>Lower Body: Squat, 60, intermediate, build strength</t>
        </is>
      </c>
      <c r="B3" s="2" t="inlineStr">
        <is>
          <t>State(s): none · level: intermediate · goal: Build strength · 60 min · target: Lower Body: Squat · soreness: none · equipment: commercial_gym · history: first session</t>
        </is>
      </c>
      <c r="C3" s="2" t="inlineStr">
        <is>
          <t>strength_lower_squat · est. 43.0 min
  Barbell Back Squat: 4 × 6  RIR 2  rest 150 s
  Leg Press: 3 × 10  RIR 2  rest 90 s
  Reverse Lunge: 3 × 10/side  RIR 2  rest 90 s
  Leg Extension: 3 × 12  RIR 1  rest 60 s
  Roman Chair / GHD Glute-Ham Raise: 3 × 12  RIR 1  rest 60 s</t>
        </is>
      </c>
      <c r="D3" s="2" t="inlineStr">
        <is>
          <t>Lower Body: Squat · Traditional · est. 57.1 min
Hack Squat: 4 × 5–7  RIR 2  rest 210 s
Curtsy Lunge: 4 × 8–10/side  RIR 2  rest 120 s
Bulgarian Split Squat: 4 × 8–10/side  RIR 2  rest 120 s
Reverse Nordic Curl: 3 × 12–15  RIR 1  rest 60 s
Roman Chair / GHD Glute-Ham Raise: 3 × 10–12  RIR 1  rest 60 s
WHY: Strength is the goal, so Hack Squat gets the priority and full rest; everything else supports it.</t>
        </is>
      </c>
      <c r="E3" s="2" t="n"/>
      <c r="F3" s="2" t="n"/>
    </row>
    <row r="4">
      <c r="A4" s="2" t="inlineStr">
        <is>
          <t>Glutes + Legs, 60, beginner, feel better</t>
        </is>
      </c>
      <c r="B4" s="2" t="inlineStr">
        <is>
          <t>State(s): none · level: beginner · goal: Feel better / reduce stress · 60 min · target: Glutes + Legs · soreness: none · equipment: commercial_gym · history: first session</t>
        </is>
      </c>
      <c r="C4" s="2" t="inlineStr">
        <is>
          <t>strength_glutes_legs · est. 41.0 min
  Barbell Hip Thrust: 4 × 8  RIR 2  rest 120 s
  Dumbbell Romanian Deadlift: 3 × 10  RIR 2  rest 90 s
  Reverse Lunge: 3 × 10/side  RIR 2  rest 90 s
  Cable Glute Kickback: 3 × 12/side  RIR 1  rest 60 s
  Leg Extension: 3 × 12  RIR 1  rest 60 s</t>
        </is>
      </c>
      <c r="D4" s="2" t="inlineStr">
        <is>
          <t>Glutes + Legs · Traditional · est. 55.4 min
Barbell Hip Thrust: 4 × 6–8  RIR 3  (Stop each set with about 3 reps left in the tank.)  rest 150 s
Pit Shark Belt Squat: 4 × 8–10  RIR 3  (Stop each set with about 3 reps left in the tank.)  rest 120 s
Reverse Lunge: 4 × 8–10/side  RIR 3  (Stop each set with about 3 reps left in the tank.)  rest 120 s
Cable Glute Kickback: 2 × 12–15/side  RIR 2  rest 60 s
Seated Leg Curl: 2 × 12–15  RIR 2  rest 60 s
FINISHER  Farmer Carry: 3 × 30 m  RIR 1  rest 60 s
WHY: Since you're newer to lifting, the movements stay approachable and the main work keeps at least two reps in reserve. Your feel-better goal keeps the compound work two reps from failure: steady, not grinding.</t>
        </is>
      </c>
      <c r="E4" s="2" t="n"/>
      <c r="F4" s="2" t="n"/>
    </row>
    <row r="5">
      <c r="A5" s="2" t="inlineStr">
        <is>
          <t>Upper Push, 60, intermediate</t>
        </is>
      </c>
      <c r="B5" s="2" t="inlineStr">
        <is>
          <t>State(s): low_energy · level: intermediate · goal: Build muscle · 60 min · target: Upper Push · soreness: none · equipment: commercial_gym · history: first session</t>
        </is>
      </c>
      <c r="C5" s="2" t="inlineStr">
        <is>
          <t>strength_upper_push · est. 40.0 min
  Dumbbell Bench Press: 4 × 8  RIR 2  rest 120 s
  Seated Dumbbell Shoulder Press: 3 × 10  RIR 2  rest 90 s
  Plate-Loaded Incline Press: 3 × 10  RIR 2  rest 90 s
  Pec Deck: 2 × 12  RIR 1  rest 60 s
  Machine Triceps Extension: 3 × 12  RIR 1  rest 60 s</t>
        </is>
      </c>
      <c r="D5" s="2" t="inlineStr">
        <is>
          <t>Upper Push · Compound + Paired Accessories · est. 51.5 min
Barbell Bench Press: 4 × 5–7  RIR 3  (Stop each set with about 3 reps left in the tank.)  rest 180 s
Parallel Bar Dip: 4 × 10–12  RIR 3  (Stop each set with about 3 reps left in the tank.)  rest 120 s
Plate-Loaded Incline Press: 4 × 10–12  RIR 3  (Stop each set with about 3 reps left in the tank.)  rest 120 s
SUPERSET A (2 rounds, rest 60 s after each round)
  A1 Dumbbell Fly: 2 × 12–15  RIR 2
  A2 Machine Triceps Extension: 2 × 12–15  RIR 2
Overhead Cable Triceps Extension: 2 × 12–15  RIR 2  rest 60 s
WHY: You're low on energy today, so we're keeping you further from failure, leaning into stable, low-friction movements and keeping the main lifts at moderate loads. For muscle, the volume lives in the accessories: 3 movements at moderate reps behind Barbell Bench Press.</t>
        </is>
      </c>
      <c r="E5" s="2" t="n"/>
      <c r="F5" s="2" t="n"/>
    </row>
    <row r="6">
      <c r="A6" s="2" t="inlineStr">
        <is>
          <t>Upper Push, 60, intermediate</t>
        </is>
      </c>
      <c r="B6" s="2" t="inlineStr">
        <is>
          <t>State(s): amped · level: intermediate · goal: Build muscle · 60 min · target: Upper Push · soreness: none · equipment: commercial_gym · history: first session</t>
        </is>
      </c>
      <c r="C6" s="2" t="inlineStr">
        <is>
          <t>strength_upper_push · est. 43.0 min
  Dumbbell Bench Press: 4 × 8  RIR 1  rest 120 s
  Parallel Bar Dip: 3 × 10  RIR 1  rest 90 s
  Plate-Loaded Incline Press: 3 × 10  RIR 1  rest 90 s
  SUPERSET A (2 rounds, rest 60 s after each round)
    A1 Cable Fly: 2 × 12  RIR 0
    A2 Cable Triceps Pressdown: 2 × 12  RIR 0
  Dumbbell Skull Crusher: 2 × 12  RIR 0  rest 60 s
  FINISHER  Reverse Pec Deck: 2 × 20  RIR 0  rest 30 s</t>
        </is>
      </c>
      <c r="D6" s="2" t="inlineStr">
        <is>
          <t>Upper Push · Compound + Paired Accessories · est. 55.8 min
Barbell Bench Press: 5 × 5–7  RIR 2  rest 180 s
Parallel Bar Dip: 4 × 8–10  RIR 2  rest 120 s
Smith Machine Incline Press: 4 × 8–10  RIR 2  rest 120 s
SUPERSET A (2 rounds, rest 60 s after each round)
  A1 Dumbbell Fly: 2 × 12–15  RIR 1
  A2 Cable Triceps Pressdown: 2 × 12–15  RIR 1
EZ-Bar Skull Crusher: 3 × 12–15  RIR 1  rest 60 s
WHY: You're amped today, so we're adding a working set to Barbell Bench Press. For muscle, the volume lives in the accessories: 3 movements at moderate reps behind Barbell Bench Press.</t>
        </is>
      </c>
      <c r="E6" s="2" t="n"/>
      <c r="F6" s="2" t="n"/>
    </row>
    <row r="7">
      <c r="A7" s="2" t="inlineStr">
        <is>
          <t>Upper Push, 60, intermediate</t>
        </is>
      </c>
      <c r="B7" s="2" t="inlineStr">
        <is>
          <t>State(s): irritated · level: intermediate · goal: Build muscle · 60 min · target: Upper Push · soreness: none · equipment: commercial_gym · history: first session</t>
        </is>
      </c>
      <c r="C7" s="2" t="inlineStr">
        <is>
          <t>strength_upper_push · est. 44.0 min
  Dumbbell Bench Press: 4 × 8  RIR 1  rest 120 s
  Seated Dumbbell Shoulder Press: 3 × 10  RIR 1  rest 90 s
  Plate-Loaded Incline Press: 3 × 10  RIR 1  rest 90 s
  SUPERSET A (2 rounds, rest 60 s after each round)
    A1 Cable Fly: 2 × 12  RIR 0
    A2 Cable Triceps Pressdown: 2 × 12  RIR 0
  Dumbbell Skull Crusher: 2 × 12  RIR 0  rest 60 s
  FINISHER  Kettlebell Swing: 3 × 15  RIR 1  rest 45 s</t>
        </is>
      </c>
      <c r="D7" s="2" t="inlineStr">
        <is>
          <t>Upper Push · Top Set + Back-off · est. 57.5 min
Barbell Bench Press: 4 sets: 4/7/7/7  RIR 2  (Top set heavy, then back off 10–15% for the remaining sets. Stop each set with about 2 reps left in the tank.)  rest 225 s
Parallel Bar Dip: 4 × 8–10  RIR 2  rest 135 s
Smith Machine Incline Press: 4 × 8–10  RIR 2  rest 135 s
SUPERSET A (3 rounds, rest 60 s after each round)
  A1 Dumbbell Fly: 3 × 10–12  RIR 1
  A2 Cable Triceps Pressdown: 3 × 10–12  RIR 1
EZ-Bar Skull Crusher: 3 × 10–12  RIR 1  rest 60 s
WHY: You're irritated today, so we're keeping the structure direct and loading the main lifts heavier. As an intermediate lifter, the top-set scheme is in play, and for muscle, the volume lives in the accessories: 3 movements at moderate reps behind Barbell Bench Press.</t>
        </is>
      </c>
      <c r="E7" s="2" t="n"/>
      <c r="F7" s="2" t="n"/>
    </row>
    <row r="8">
      <c r="A8" s="2" t="inlineStr">
        <is>
          <t>Upper Push, 60, intermediate</t>
        </is>
      </c>
      <c r="B8" s="2" t="inlineStr">
        <is>
          <t>State(s): bored · level: intermediate · goal: Build muscle · 60 min · target: Upper Push · soreness: none · equipment: commercial_gym · history: first session</t>
        </is>
      </c>
      <c r="C8" s="2" t="inlineStr">
        <is>
          <t>strength_upper_push · est. 40.0 min
  Dumbbell Bench Press: 4 × 8  RIR 2  rest 120 s
  Parallel Bar Dip: 3 × 10  RIR 2  rest 90 s
  PYRAMID Plate-Loaded Incline Press: 3 × 12/10/8  RIR 2  rest 90 s
  SUPERSET A (2 rounds, rest 60 s after each round)
    A1 Low-to-High Cable Fly: 2 × 12  RIR 1
    A2 Cross-Body Cable Triceps Extension: 2 × 12/side  RIR 1
  Machine Triceps Extension: 2 × 12  RIR 1  rest 60 s</t>
        </is>
      </c>
      <c r="D8" s="2" t="inlineStr">
        <is>
          <t>Upper Push · Compound + Paired Accessories · est. 53.8 min
Barbell Bench Press: 4 × 5–7  RIR 2  rest 180 s
Parallel Bar Dip: 4 × 8–10  RIR 2  rest 120 s
Smith Machine Incline Press: 4 × 8–10 · 1.5 reps  RIR 2  (Full rep, half rep from the stretched position, back to the top: that is one rep. Stop each set with about 2 reps left in the tank.)  rest 120 s
SUPERSET A (2 rounds, rest 60 s after each round)
  A1 Low-to-High Cable Fly: 2 × 12–15  RIR 1
  A2 Dumbbell Overhead Triceps Extension: 2 × 12–15  RIR 1
LADDER Cross-Body Cable Triceps Extension: 3 sets: 15/12/9  RIR 1  rest 30 s
WHY: You're bored today, so we're changing the feel with 1.5 reps on the Smith Machine Incline Press and bringing in 3 less-familiar movements. As an intermediate lifter, 1.5 reps on Smith Machine Incline Press is on the table. For muscle, the volume lives in the accessories: 3 movements at moderate reps behind Barbell Bench Press.</t>
        </is>
      </c>
      <c r="E8" s="2" t="n"/>
      <c r="F8" s="2" t="n"/>
    </row>
    <row r="9">
      <c r="A9" s="2" t="inlineStr">
        <is>
          <t>Upper Push, 60, intermediate</t>
        </is>
      </c>
      <c r="B9" s="2" t="inlineStr">
        <is>
          <t>State(s): stressed · level: intermediate · goal: Build muscle · 60 min · target: Upper Push · soreness: none · equipment: commercial_gym · history: first session</t>
        </is>
      </c>
      <c r="C9" s="2" t="inlineStr">
        <is>
          <t>strength_upper_push · est. 40.0 min
  Dumbbell Bench Press: 4 × 8  RIR 2  rest 120 s
  Seated Dumbbell Shoulder Press: 3 × 10  RIR 2  rest 90 s
  Plate-Loaded Incline Press: 3 × 10  RIR 2  rest 90 s
  SUPERSET A (2 rounds, rest 60 s after each round)
    A1 Cable Fly: 2 × 12  RIR 1
    A2 Cable Triceps Pressdown: 2 × 12  RIR 1
  Dumbbell Skull Crusher: 2 × 12  RIR 1  rest 60 s</t>
        </is>
      </c>
      <c r="D9" s="2" t="inlineStr">
        <is>
          <t>Upper Push · Traditional · est. 51.6 min
Barbell Bench Press: 5 × 5–7  RIR 2  rest 165 s
Parallel Bar Dip: 4 × 8–10  RIR 2  rest 120 s
Plate-Loaded Incline Press: 3 × 10–12  RIR 2  rest 120 s
SUPERSET A (4 rounds, rest 60 s after each round)
  A1 Dumbbell Fly: 4 × 10–12  RIR 1
  A2 Machine Triceps Extension: 4 × 10–12  RIR 1
WHY: You're stressed today, so the session runs on autopilot: a simple, predictable structure, familiar movements and one thing fewer to set up. For muscle, the volume lives in the accessories: 2 movements at moderate reps behind Barbell Bench Press.</t>
        </is>
      </c>
      <c r="E9" s="2" t="n"/>
      <c r="F9" s="2" t="n"/>
    </row>
    <row r="10">
      <c r="A10" s="2" t="inlineStr">
        <is>
          <t>Amped + Stressed, Upper Push, 60</t>
        </is>
      </c>
      <c r="B10" s="2" t="inlineStr">
        <is>
          <t>State(s): amped, stressed · level: intermediate · goal: Build muscle · 60 min · target: Upper Push · soreness: none · equipment: commercial_gym · history: first session</t>
        </is>
      </c>
      <c r="C10" s="2" t="inlineStr">
        <is>
          <t>strength_upper_push · est. 42.0 min
  Dumbbell Bench Press: 4 × 8  RIR 1  rest 120 s
  Seated Dumbbell Shoulder Press: 4 × 10  RIR 1  rest 90 s
  Plate-Loaded Incline Press: 3 × 10  RIR 1  rest 90 s
  SUPERSET A (2 rounds, rest 60 s after each round)
    A1 Cable Fly: 2 × 12  RIR 0
    A2 Cable Triceps Pressdown: 2 × 12  RIR 0
  Dumbbell Skull Crusher: 2 × 12  RIR 0  rest 60 s</t>
        </is>
      </c>
      <c r="D10" s="2" t="inlineStr">
        <is>
          <t>Upper Push · Compound + Paired Accessories · est. 53.6 min
Barbell Bench Press: 5 × 5–7  RIR 2  rest 180 s
Parallel Bar Dip: 4 × 8–10  RIR 2  rest 120 s
Plate-Loaded Incline Press: 3 × 10–12  RIR 2  rest 120 s
SUPERSET A (4 rounds, rest 60 s after each round)
  A1 Dumbbell Fly: 4 × 12–15  RIR 1
  A2 Machine Triceps Extension: 4 × 12–15  RIR 1
WHY: You're amped but stressed, so instead of making the workout busier we're putting that extra energy into harder work on Barbell Bench Press while keeping the structure predictable and the rest unhurried. For muscle, the volume lives in the accessories: 2 movements at moderate reps behind Barbell Bench Press.</t>
        </is>
      </c>
      <c r="E10" s="2" t="n"/>
      <c r="F10" s="2" t="n"/>
    </row>
    <row r="11">
      <c r="A11" s="2" t="inlineStr">
        <is>
          <t>Chest, 60, intermediate</t>
        </is>
      </c>
      <c r="B11" s="2" t="inlineStr">
        <is>
          <t>State(s): none · level: intermediate · goal: Build muscle · 60 min · target: Custom Target: chest · soreness: none · equipment: commercial_gym · history: first session</t>
        </is>
      </c>
      <c r="C11" s="2" t="inlineStr">
        <is>
          <t>strength_custom_target · est. 40.0 min
  Dumbbell Bench Press: 3 × 10  RIR 2  rest 90 s
  Dumbbell Fly: 3 × 10  RIR 2  rest 90 s
  Pec Deck: 3 × 10  RIR 2  rest 90 s
  Cable Fly: 3 × 10  RIR 2  rest 90 s
  Smith Machine Incline Press: 3 × 10  RIR 2  rest 90 s</t>
        </is>
      </c>
      <c r="D11" s="2" t="inlineStr">
        <is>
          <t>Custom Target · Traditional · est. 50.6 min
Incline Dumbbell Press: 5 × 5–7  RIR 2  rest 165 s
Push-Up: 4 × 8–12  RIR 2  rest 120 s
Parallel Bar Dip: 4 × 8–10  RIR 2  rest 120 s
Cable Fly: 4 × 10–12  RIR 1  rest 60 s
WHY: Your muscle goal is why 1 accessory movement sits behind the main lifts at moderate reps.</t>
        </is>
      </c>
      <c r="E11" s="2" t="n"/>
      <c r="F1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85"/>
  <sheetViews>
    <sheetView workbookViewId="0">
      <pane ySplit="1" topLeftCell="A2" activePane="bottomLeft" state="frozen"/>
      <selection pane="bottomLeft" activeCell="A1" sqref="A1"/>
    </sheetView>
  </sheetViews>
  <sheetFormatPr baseColWidth="8" defaultRowHeight="15"/>
  <cols>
    <col width="160" customWidth="1" min="1" max="1"/>
  </cols>
  <sheetData>
    <row r="1">
      <c r="A1" s="1" t="inlineStr">
        <is>
          <t>QA metrics over the full sample</t>
        </is>
      </c>
    </row>
    <row r="2">
      <c r="A2">
        <f>= sample 4470 ok 4446 conflicts [(('strength_lower_squat', "['legs']", 'sore_target_conflict'), 6), (('strength_lower_hinge', "['legs']", 'sore_target_conflict'), 6), (('strength_glutes_legs', "['legs']", 'sore_target_conflict'), 6), (('strength_full_body', "['legs']", 'sore_target_conflict'), 6)]</f>
        <v/>
      </c>
    </row>
    <row r="3">
      <c r="A3" t="inlineStr"/>
    </row>
    <row r="4">
      <c r="A4">
        <f>= STATE SATISFACTION GATE</f>
        <v/>
      </c>
    </row>
    <row r="5">
      <c r="A5" t="inlineStr">
        <is>
          <t xml:space="preserve"> states evaluated 5558; satisfied 98% (5474/5558); needed a fallback expression 17% (935/5558); yielded to a conflicting State by rule 52; exhausted 28</t>
        </is>
      </c>
    </row>
    <row r="6">
      <c r="A6" t="inlineStr">
        <is>
          <t xml:space="preserve">   yielded: {('low_energy', 'low_energy_vs_amped_volume'): 10, ('amped', 'low_energy_vs_effort'): 42}</t>
        </is>
      </c>
    </row>
    <row r="7">
      <c r="A7" t="inlineStr">
        <is>
          <t xml:space="preserve">   exhausted by (state, archetype, level): {('bored', 'strength_lower_squat', 'beginner'): 12, ('bored', 'strength_glutes_legs', 'beginner'): 4, ('irritated', 'strength_arms', 'beginner'): 1, ('bored', 'strength_lower_hinge', 'advanced'): 2, ('bored', 'strength_full_body', 'beginner'): 3, ('amped', 'strength_full_body', 'beginner'): 3, ('bored', 'strength_upper_push', 'beginner'): 1, ('bored', 'strength_upper_pull', 'beginner'): 2}</t>
        </is>
      </c>
    </row>
    <row r="8">
      <c r="A8" t="inlineStr">
        <is>
          <t xml:space="preserve">   amped        satisfied 96% (1151/1200)  fallback used 26% (306/1200)</t>
        </is>
      </c>
    </row>
    <row r="9">
      <c r="A9" t="inlineStr">
        <is>
          <t xml:space="preserve">   bored        satisfied 98% (1119/1143)  fallback used 9% (103/1143)</t>
        </is>
      </c>
    </row>
    <row r="10">
      <c r="A10" t="inlineStr">
        <is>
          <t xml:space="preserve">   irritated    satisfied 100% (928/929)  fallback used 15% (140/929)</t>
        </is>
      </c>
    </row>
    <row r="11">
      <c r="A11" t="inlineStr">
        <is>
          <t xml:space="preserve">   low_energy   satisfied 99% (1133/1143)  fallback used 19% (212/1143)</t>
        </is>
      </c>
    </row>
    <row r="12">
      <c r="A12" t="inlineStr">
        <is>
          <t xml:space="preserve">   stressed     satisfied 100% (1143/1143)  fallback used 15% (174/1143)</t>
        </is>
      </c>
    </row>
    <row r="13">
      <c r="A13" t="inlineStr">
        <is>
          <t xml:space="preserve"> first-attempt no-op rate (before fallback): {'amped': '23%', 'bored': '6%', 'irritated': '12%', 'low_energy': '6%', 'stressed': '4%'}</t>
        </is>
      </c>
    </row>
    <row r="14">
      <c r="A14" t="inlineStr"/>
    </row>
    <row r="15">
      <c r="A15">
        <f>= STATE FINGERPRINTS (realized adaptation kinds in the final workout)</f>
        <v/>
      </c>
    </row>
    <row r="16">
      <c r="A16" t="inlineStr"/>
    </row>
    <row r="17">
      <c r="A17" t="inlineStr">
        <is>
          <t xml:space="preserve"> low_energy n=1080: kinds {'exercises': '64%', 'rir': '61%', 'reps': '25%', 'complexity_or_systemic_cap': '21%', 'structure': '20%', 'slot_removed': '19%', 'set_method': '13%', 'volume': '6%'}</t>
        </is>
      </c>
    </row>
    <row r="18">
      <c r="A18" t="inlineStr">
        <is>
          <t xml:space="preserve">   top combinations: [(['exercises', 'rir'], 124), (['exercises'], 100), (['exercises', 'reps', 'rir'], 69), (['rir'], 62), (['exercises', 'slot_removed'], 51)]</t>
        </is>
      </c>
    </row>
    <row r="19">
      <c r="A19" t="inlineStr">
        <is>
          <t xml:space="preserve">   expressions {'moderate_load': 337, 'last_resort': 10, 'simplify': 323, 'cost_down': 410}   set methods present {'slow_eccentric': 123, 'one_and_half': 12, 'pause': 70}   finisher 2% (20/1080)</t>
        </is>
      </c>
    </row>
    <row r="20">
      <c r="A20" t="inlineStr">
        <is>
          <t xml:space="preserve">   single-State vs same no-State build: retention 68%  Δsets -1.23  ΔRIR +0.63  Δrest +2.7s</t>
        </is>
      </c>
    </row>
    <row r="21">
      <c r="A21" t="inlineStr"/>
    </row>
    <row r="22">
      <c r="A22" t="inlineStr">
        <is>
          <t xml:space="preserve"> stressed n=1080: kinds {'exercises': '60%', 'tempo': '36%', 'rest': '29%', 'structure': '25%', 'complexity_or_systemic_cap': '18%', 'slot_removed': '16%', 'rir': '10%', 'set_method': '5%'}</t>
        </is>
      </c>
    </row>
    <row r="23">
      <c r="A23" t="inlineStr">
        <is>
          <t xml:space="preserve">   top combinations: [(['exercises', 'rest'], 124), (['exercises'], 102), (['tempo'], 89), (['exercises', 'tempo'], 79), (['exercises', 'slot_removed'], 70)]</t>
        </is>
      </c>
    </row>
    <row r="24">
      <c r="A24" t="inlineStr">
        <is>
          <t xml:space="preserve">   expressions {'predictable': 388, 'simpler': 303, 'controlled': 389}   set methods present {'slow_eccentric': 58, 'pause': 79}   finisher 1% (7/1080)</t>
        </is>
      </c>
    </row>
    <row r="25">
      <c r="A25" t="inlineStr">
        <is>
          <t xml:space="preserve">   single-State vs same no-State build: retention 68%  Δsets -0.53  ΔRIR +0.04  Δrest +4.4s</t>
        </is>
      </c>
    </row>
    <row r="26">
      <c r="A26" t="inlineStr"/>
    </row>
    <row r="27">
      <c r="A27" t="inlineStr">
        <is>
          <t xml:space="preserve"> bored n=1080: kinds {'exercises': '89%', 'set_method': '31%', 'structure': '22%', 'finisher': '5%'}</t>
        </is>
      </c>
    </row>
    <row r="28">
      <c r="A28" t="inlineStr">
        <is>
          <t xml:space="preserve">   top combinations: [(['exercises'], 537), (['exercises', 'set_method'], 203), (['exercises', 'structure'], 105), (['exercises', 'set_method', 'structure'], 68), (['structure'], 35)]</t>
        </is>
      </c>
    </row>
    <row r="29">
      <c r="A29" t="inlineStr">
        <is>
          <t xml:space="preserve">   expressions {'new_exercises': 333, 'fresh_finish': 491, 'last_resort': 34, 'new_structure': 222}   set methods present {'one_and_half': 98, 'drop_set': 60, 'cluster': 27, 'slow_eccentric': 231, 'rest_pause': 117, 'pause': 189}   finisher 8% (81/1080)</t>
        </is>
      </c>
    </row>
    <row r="30">
      <c r="A30" t="inlineStr">
        <is>
          <t xml:space="preserve">   single-State vs same no-State build: retention 58%  Δsets -0.21  ΔRIR -0.00  Δrest +0.9s</t>
        </is>
      </c>
    </row>
    <row r="31">
      <c r="A31" t="inlineStr"/>
    </row>
    <row r="32">
      <c r="A32" t="inlineStr">
        <is>
          <t xml:space="preserve"> irritated n=810: kinds {'tempo': '44%', 'exercises': '43%', 'structure': '35%', 'rest': '28%', 'reps': '25%', 'complexity_or_systemic_cap': '19%', 'finisher': '4%'}</t>
        </is>
      </c>
    </row>
    <row r="33">
      <c r="A33" t="inlineStr">
        <is>
          <t xml:space="preserve">   top combinations: [(['exercises'], 145), (['structure', 'tempo'], 83), (['reps'], 52), (['exercises', 'reps'], 47), (['rest', 'structure', 'tempo'], 45)]</t>
        </is>
      </c>
    </row>
    <row r="34">
      <c r="A34" t="inlineStr">
        <is>
          <t xml:space="preserve">   expressions {'heavy_primary': 407, 'forceful_finish': 232, 'last_resort': 5, 'direct_simple': 166}   set methods present {'drop_set': 7, 'pause': 35, 'rest_pause': 10}   finisher 4% (32/810)</t>
        </is>
      </c>
    </row>
    <row r="35">
      <c r="A35" t="inlineStr">
        <is>
          <t xml:space="preserve">   single-State vs same no-State build: retention 83%  Δsets -0.57  ΔRIR +0.01  Δrest +9.7s</t>
        </is>
      </c>
    </row>
    <row r="36">
      <c r="A36" t="inlineStr"/>
    </row>
    <row r="37">
      <c r="A37" t="inlineStr">
        <is>
          <t xml:space="preserve"> amped n=1080: kinds {'rir': '38%', 'structure': '36%', 'reps': '27%', 'volume': '21%', 'set_method': '11%', 'exercises': '8%', 'finisher': '1%'}</t>
        </is>
      </c>
    </row>
    <row r="38">
      <c r="A38" t="inlineStr">
        <is>
          <t xml:space="preserve">   top combinations: [(['structure'], 167), (['reps'], 129), (['volume'], 124), (['rir'], 116), (['rir', 'structure'], 93)]</t>
        </is>
      </c>
    </row>
    <row r="39">
      <c r="A39" t="inlineStr">
        <is>
          <t xml:space="preserve">   expressions {'extra_set_paired': 334, 'top_set': 245, 'heavy_end': 413, 'last_resort': 88}   set methods present {'one_and_half': 58, 'cluster': 39, 'drop_set': 52, 'slow_eccentric': 101, 'rest_pause': 87, 'pause': 139}   finisher 4% (42/1080)</t>
        </is>
      </c>
    </row>
    <row r="40">
      <c r="A40" t="inlineStr">
        <is>
          <t xml:space="preserve">   single-State vs same no-State build: retention 97%  Δsets +0.04  ΔRIR -0.02  Δrest +2.4s</t>
        </is>
      </c>
    </row>
    <row r="41">
      <c r="A41" t="inlineStr"/>
    </row>
    <row r="42">
      <c r="A42">
        <f>= EXPLANATION TRUTHFULNESS</f>
        <v/>
      </c>
    </row>
    <row r="43">
      <c r="A43" t="inlineStr">
        <is>
          <t xml:space="preserve"> realized RIR / set details checked against the final prescription: 3366, mismatches 0</t>
        </is>
      </c>
    </row>
    <row r="44">
      <c r="A44" t="inlineStr">
        <is>
          <t xml:space="preserve"> workouts with a synthesised line 4352; claims not backed by a realized contract entry: 0; workouts with no synthesised line 94 (no State, no soreness, nothing material to say beyond structure)</t>
        </is>
      </c>
    </row>
    <row r="45">
      <c r="A45" t="inlineStr">
        <is>
          <t xml:space="preserve"> style-lint violations: 0</t>
        </is>
      </c>
    </row>
    <row r="46">
      <c r="A46" t="inlineStr"/>
    </row>
    <row r="47">
      <c r="A47">
        <f>= EXPERIENCE LEVEL (archetype runs, no State, 60 min)</f>
        <v/>
      </c>
    </row>
    <row r="48">
      <c r="A48" t="inlineStr">
        <is>
          <t xml:space="preserve"> beginner     n=160 sets/session 17.9  exercises 5.4  set-method in session 19% (31/160)  methods {'slow_eccentric': 31}</t>
        </is>
      </c>
    </row>
    <row r="49">
      <c r="A49" t="inlineStr">
        <is>
          <t xml:space="preserve">      variants {'paired': 44, 'heavy_primary': 43, 'volume': 40, 'traditional': 26, 'efficient': 7}</t>
        </is>
      </c>
    </row>
    <row r="50">
      <c r="A50" t="inlineStr">
        <is>
          <t xml:space="preserve">      RIR {2: 750, 3: 110}  primary reps {'6–8': 116, '8–10': 39}  accessory reps {'12–15': 295, '15–20': 63, '20–40 sec': 3, '20–30 sec': 2}</t>
        </is>
      </c>
    </row>
    <row r="51">
      <c r="A51" t="inlineStr">
        <is>
          <t xml:space="preserve">      structures {'straight': 160, 'superset': 114, 'finisher': 18}</t>
        </is>
      </c>
    </row>
    <row r="52">
      <c r="A52" t="inlineStr">
        <is>
          <t xml:space="preserve"> intermediate n=160 sets/session 19.0  exercises 5.3  set-method in session 42% (68/160)  methods {'drop_set': 6, 'one_and_half': 6, 'pause': 24, 'slow_eccentric': 31, 'rest_pause': 1}</t>
        </is>
      </c>
    </row>
    <row r="53">
      <c r="A53" t="inlineStr">
        <is>
          <t xml:space="preserve">      variants {'paired': 44, 'volume': 42, 'heavy_primary': 36, 'traditional': 17, 'top_backoff': 14, 'efficient': 7}</t>
        </is>
      </c>
    </row>
    <row r="54">
      <c r="A54" t="inlineStr">
        <is>
          <t xml:space="preserve">      RIR {2: 448, 1: 388, 3: 8}  primary reps {'5–7': 93, '4–6': 42, '6–8': 20}  accessory reps {'10–12': 266, '12–15': 85, '15–20': 11, '20–30 sec': 2}</t>
        </is>
      </c>
    </row>
    <row r="55">
      <c r="A55" t="inlineStr">
        <is>
          <t xml:space="preserve">      structures {'straight': 160, 'superset': 86, 'finisher': 15, 'ladder': 1}</t>
        </is>
      </c>
    </row>
    <row r="56">
      <c r="A56" t="inlineStr">
        <is>
          <t xml:space="preserve"> advanced     n=160 sets/session 18.8  exercises 5.3  set-method in session 66% (105/160)  methods {'drop_set': 19, 'one_and_half': 17, 'pause': 25, 'rest_pause': 6, 'cluster': 8, 'slow_eccentric': 30}</t>
        </is>
      </c>
    </row>
    <row r="57">
      <c r="A57" t="inlineStr">
        <is>
          <t xml:space="preserve">      variants {'paired': 44, 'volume': 42, 'heavy_primary': 36, 'traditional': 17, 'top_backoff': 14, 'efficient': 7}</t>
        </is>
      </c>
    </row>
    <row r="58">
      <c r="A58" t="inlineStr">
        <is>
          <t xml:space="preserve">      RIR {1: 483, 2: 361}  primary reps {'5–7': 93, '4–6': 42, '6–8': 20}  accessory reps {'10–12': 262, '12–15': 92, '15–20': 10, '15–30 sec / side': 2}</t>
        </is>
      </c>
    </row>
    <row r="59">
      <c r="A59" t="inlineStr">
        <is>
          <t xml:space="preserve">      structures {'straight': 160, 'superset': 69, 'finisher': 12, 'ladder': 1}</t>
        </is>
      </c>
    </row>
    <row r="60">
      <c r="A60" t="inlineStr"/>
    </row>
    <row r="61">
      <c r="A61">
        <f>= GOAL (goal grid, no State, 60 min, intermediate+advanced)</f>
        <v/>
      </c>
    </row>
    <row r="62">
      <c r="A62" t="inlineStr">
        <is>
          <t xml:space="preserve"> build_muscle               n=40 variants {'volume': 14, 'paired': 14, 'heavy_primary': 6, 'efficient': 2, 'top_backoff': 2, 'traditional': 2}</t>
        </is>
      </c>
    </row>
    <row r="63">
      <c r="A63" t="inlineStr">
        <is>
          <t xml:space="preserve">      primary reps {'5–7': 24, '6–8': 10, '4–6': 6} primary rest {150: 14, 180: 14, 225: 8} accessories/session 2.5 accessory sets/session 7.9 accessory rest {60: 96, 30: 2} compound RIR {2: 105, 1: 13} methods {'drop_set': 7, 'one_and_half': 7, 'slow_eccentric': 6, 'pause': 4, 'rest_pause': 1}</t>
        </is>
      </c>
    </row>
    <row r="64">
      <c r="A64" t="inlineStr">
        <is>
          <t xml:space="preserve"> build_strength             n=40 variants {'heavy_primary': 14, 'top_backoff': 10, 'paired': 6, 'volume': 6, 'efficient': 2, 'traditional': 2}</t>
        </is>
      </c>
    </row>
    <row r="65">
      <c r="A65" t="inlineStr">
        <is>
          <t xml:space="preserve">      primary reps {'5–7': 22, '4–6': 18} primary rest {240: 26, 210: 8, 180: 6} accessories/session 2.4 accessory sets/session 6.1 accessory rest {60: 92, 45: 2} compound RIR {2: 95, 1: 17} methods {'drop_set': 2, 'slow_eccentric': 8, 'pause': 8, 'cluster': 5, 'one_and_half': 2}</t>
        </is>
      </c>
    </row>
    <row r="66">
      <c r="A66" t="inlineStr">
        <is>
          <t xml:space="preserve"> improve_athleticism        n=40 variants {'heavy_primary': 12, 'volume': 12, 'paired': 8, 'top_backoff': 4, 'efficient': 2, 'traditional': 2}</t>
        </is>
      </c>
    </row>
    <row r="67">
      <c r="A67" t="inlineStr">
        <is>
          <t xml:space="preserve">      primary reps {'5–7': 24, '4–6': 16} primary rest {240: 18, 180: 12, 210: 8} accessories/session 2.4 accessory sets/session 6.8 accessory rest {60: 88, 45: 8} compound RIR {2: 100, 1: 14} methods {'one_and_half': 4, 'rest_pause': 2, 'pause': 9, 'slow_eccentric': 4, 'drop_set': 1}</t>
        </is>
      </c>
    </row>
    <row r="68">
      <c r="A68" t="inlineStr">
        <is>
          <t xml:space="preserve"> lose_weight_conditioning   n=40 variants {'paired': 16, 'volume': 12, 'heavy_primary': 6, 'efficient': 2, 'top_backoff': 2, 'traditional': 2}</t>
        </is>
      </c>
    </row>
    <row r="69">
      <c r="A69" t="inlineStr">
        <is>
          <t xml:space="preserve">      primary reps {'5–7': 26, '6–8': 8, '4–6': 6} primary rest {195: 16, 165: 12, 240: 10} accessories/session 2.5 accessory sets/session 7.5 accessory rest {60: 66, 45: 34} compound RIR {2: 102, 1: 14} methods {'drop_set': 6, 'one_and_half': 2, 'slow_eccentric': 8, 'pause': 4}</t>
        </is>
      </c>
    </row>
    <row r="70">
      <c r="A70" t="inlineStr">
        <is>
          <t xml:space="preserve"> feel_better_reduce_stress  n=40 variants {'volume': 12, 'heavy_primary': 10, 'paired': 10, 'traditional': 4, 'efficient': 2, 'top_backoff': 2}</t>
        </is>
      </c>
    </row>
    <row r="71">
      <c r="A71" t="inlineStr">
        <is>
          <t xml:space="preserve">      primary reps {'5–7': 22, '4–6': 10, '6–8': 8} primary rest {240: 12, 165: 12, 195: 10} accessories/session 2.5 accessory sets/session 7.3 accessory rest {60: 96, 45: 2} compound RIR {2: 108, 3: 6} methods {'rest_pause': 1, 'slow_eccentric': 12, 'one_and_half': 2, 'pause': 4, 'drop_set': 1}</t>
        </is>
      </c>
    </row>
    <row r="72">
      <c r="A72" t="inlineStr">
        <is>
          <t xml:space="preserve"> stay_consistent            n=40 variants {'volume': 12, 'paired': 12, 'heavy_primary': 8, 'top_backoff': 4, 'efficient': 2, 'traditional': 2}</t>
        </is>
      </c>
    </row>
    <row r="73">
      <c r="A73" t="inlineStr">
        <is>
          <t xml:space="preserve">      primary reps {'5–7': 24, '4–6': 8, '6–8': 8} primary rest {240: 13, 165: 12, 195: 12} accessories/session 2.5 accessory sets/session 7.3 accessory rest {60: 90, 45: 8} compound RIR {2: 102, 1: 14} methods {'drop_set': 2, 'slow_eccentric': 12, 'one_and_half': 2, 'pause': 4}</t>
        </is>
      </c>
    </row>
    <row r="74">
      <c r="A74" t="inlineStr"/>
    </row>
    <row r="75">
      <c r="A75">
        <f>= SET METHODS (all archetype runs)</f>
        <v/>
      </c>
    </row>
    <row r="76">
      <c r="A76" t="inlineStr">
        <is>
          <t xml:space="preserve"> sessions with a method: 28% (966/3510)  by method {'one_and_half': 120, 'drop_set': 94, 'cluster': 50, 'slow_eccentric': 356, 'rest_pause': 152, 'pause': 365}</t>
        </is>
      </c>
    </row>
    <row r="77">
      <c r="A77" t="inlineStr">
        <is>
          <t xml:space="preserve"> by State: {'': 'n/a', 'low_energy': '13% (36/270)', 'stressed': '9% (24/270)', 'bored': '72% (195/270)', 'irritated': '14% (37/270)', 'amped': '44% (119/270)'}</t>
        </is>
      </c>
    </row>
    <row r="78">
      <c r="A78" t="inlineStr">
        <is>
          <t xml:space="preserve"> method on which class: {'accessory': 335, 'secondary_compound': 443, 'primary_compound': 359}</t>
        </is>
      </c>
    </row>
    <row r="79">
      <c r="A79" t="inlineStr"/>
    </row>
    <row r="80">
      <c r="A80">
        <f>= BASE + REGRESSION</f>
        <v/>
      </c>
    </row>
    <row r="81">
      <c r="A81" t="inlineStr">
        <is>
          <t xml:space="preserve"> no-State 60: straight-only 38% (46/120) est mean 53.8 in 50–60 94% (113/120) variants {'paired': 33, 'traditional': 32, 'heavy_primary': 25, 'volume': 23, 'top_backoff': 4, 'efficient': 3}</t>
        </is>
      </c>
    </row>
    <row r="82">
      <c r="A82" t="inlineStr">
        <is>
          <t xml:space="preserve"> no-State 30: est mean 28.1 in 25–33 99% (119/120)</t>
        </is>
      </c>
    </row>
    <row r="83">
      <c r="A83" t="inlineStr">
        <is>
          <t xml:space="preserve"> Amped 60 finisher 11% (15/135) burnout 4% (6/135) top/back-off 20% (27/135)</t>
        </is>
      </c>
    </row>
    <row r="84">
      <c r="A84" t="inlineStr">
        <is>
          <t xml:space="preserve"> Irritated 60 finisher 19% (25/135) carry anywhere 19% (26/135) KB swing anywhere 13% (17/135)</t>
        </is>
      </c>
    </row>
    <row r="85">
      <c r="A85" t="inlineStr">
        <is>
          <t xml:space="preserve"> Low Energy: accessory sets reduced 18% (48/270)</t>
        </is>
      </c>
    </row>
    <row r="86">
      <c r="A86" t="inlineStr">
        <is>
          <t xml:space="preserve"> protected primary kept under low_energy: 100% (210/210)</t>
        </is>
      </c>
    </row>
    <row r="87">
      <c r="A87" t="inlineStr">
        <is>
          <t xml:space="preserve"> protected primary kept under stressed: 100% (210/210)</t>
        </is>
      </c>
    </row>
    <row r="88">
      <c r="A88" t="inlineStr">
        <is>
          <t xml:space="preserve"> protected primary kept under bored: 98% (206/210)</t>
        </is>
      </c>
    </row>
    <row r="89">
      <c r="A89" t="inlineStr">
        <is>
          <t xml:space="preserve"> protected primary kept under irritated: 100% (210/210)</t>
        </is>
      </c>
    </row>
    <row r="90">
      <c r="A90" t="inlineStr">
        <is>
          <t xml:space="preserve"> protected primary kept under amped: 100% (210/210)</t>
        </is>
      </c>
    </row>
    <row r="91">
      <c r="A91" t="inlineStr"/>
    </row>
    <row r="92">
      <c r="A92">
        <f>= SORENESS + EXPLICIT TARGET</f>
        <v/>
      </c>
    </row>
    <row r="93">
      <c r="A93" t="inlineStr">
        <is>
          <t xml:space="preserve"> target ['chest', 'triceps'] sore ['shoulders'] -&gt; strength_custom_target: ['db_incline_press', 'machine_chest_press', 'cable_fly', 'rope_pressdown', 'seated_dip_machine']</t>
        </is>
      </c>
    </row>
    <row r="94">
      <c r="A94" t="inlineStr">
        <is>
          <t xml:space="preserve">      ['no movement loads the sore front_delts, rear_delts, shoulders, side_delts directly', '2 movements still use it as a secondary mover (Incline Dumbbell Press, Machine Chest Press); everything else avoids it']</t>
        </is>
      </c>
    </row>
    <row r="95">
      <c r="A95" t="inlineStr">
        <is>
          <t xml:space="preserve"> target ['chest', 'triceps'] sore ['lower_back'] -&gt; strength_upper_push: ['barbell_bench_press', 'parallel_bar_dip', 'smith_incline_press', 'low_to_high_cable_fly', 'db_overhead_extension', 'machine_lateral_raise']</t>
        </is>
      </c>
    </row>
    <row r="96">
      <c r="A96" t="inlineStr">
        <is>
          <t xml:space="preserve">      ['no movement loads the sore spinal_erectors directly', 'no accessory uses it as a secondary mover either']</t>
        </is>
      </c>
    </row>
    <row r="97">
      <c r="A97" t="inlineStr">
        <is>
          <t xml:space="preserve"> target ['chest', 'triceps'] sore ['legs'] -&gt; strength_upper_push: ['barbell_bench_press', 'parallel_bar_dip', 'smith_incline_press', 'low_to_high_cable_fly', 'db_overhead_extension', 'machine_lateral_raise']</t>
        </is>
      </c>
    </row>
    <row r="98">
      <c r="A98" t="inlineStr">
        <is>
          <t xml:space="preserve">      ['no movement loads the sore calves, glutes, hamstrings, quads directly', 'no accessory uses it as a secondary mover either']</t>
        </is>
      </c>
    </row>
    <row r="99">
      <c r="A99" t="inlineStr">
        <is>
          <t xml:space="preserve"> target ['chest'] sore ['shoulders'] -&gt; strength_custom_target: ['db_incline_press', 'machine_chest_press', 'parallel_bar_dip', 'cable_fly']</t>
        </is>
      </c>
    </row>
    <row r="100">
      <c r="A100" t="inlineStr">
        <is>
          <t xml:space="preserve">      ['no movement loads the sore front_delts, rear_delts, shoulders, side_delts directly', '3 movements still use it as a secondary mover (Incline Dumbbell Press, Machine Chest Press, Parallel Bar Dip); everything else avoids it']</t>
        </is>
      </c>
    </row>
    <row r="101">
      <c r="A101" t="inlineStr">
        <is>
          <t xml:space="preserve"> target ['chest'] sore ['lower_back'] -&gt; strength_custom_target: ['db_incline_press', 'machine_chest_press', 'parallel_bar_dip', 'cable_fly']</t>
        </is>
      </c>
    </row>
    <row r="102">
      <c r="A102" t="inlineStr">
        <is>
          <t xml:space="preserve">      ['no movement loads the sore spinal_erectors directly', 'no accessory uses it as a secondary mover either']</t>
        </is>
      </c>
    </row>
    <row r="103">
      <c r="A103" t="inlineStr">
        <is>
          <t xml:space="preserve"> target ['chest'] sore ['legs'] -&gt; strength_custom_target: ['db_incline_press', 'machine_chest_press', 'parallel_bar_dip', 'cable_fly']</t>
        </is>
      </c>
    </row>
    <row r="104">
      <c r="A104" t="inlineStr">
        <is>
          <t xml:space="preserve">      ['no movement loads the sore calves, glutes, hamstrings, quads directly', 'no accessory uses it as a secondary mover either']</t>
        </is>
      </c>
    </row>
    <row r="105">
      <c r="A105" t="inlineStr">
        <is>
          <t xml:space="preserve"> target ['back', 'biceps'] sore ['shoulders'] -&gt; strength_upper_pull: ['assisted_pull_up_machine', 'single_arm_cable_row', 'single_arm_lat_pulldown', 'db_pullover', 'ez_preacher_curl', 'barbell_curl']</t>
        </is>
      </c>
    </row>
    <row r="106">
      <c r="A106" t="inlineStr">
        <is>
          <t xml:space="preserve">      ['no movement loads the sore front_delts, rear_delts, shoulders, side_delts directly', 'no accessory uses it as a secondary mover either']</t>
        </is>
      </c>
    </row>
    <row r="107">
      <c r="A107" t="inlineStr">
        <is>
          <t xml:space="preserve"> target ['back', 'biceps'] sore ['lower_back'] -&gt; strength_upper_pull: ['chest_supported_row_machine', 'assisted_pull_up_machine', 'meadows_row', 'straight_arm_pulldown', 'ez_preacher_curl', 'zottman_curl']</t>
        </is>
      </c>
    </row>
    <row r="108">
      <c r="A108" t="inlineStr">
        <is>
          <t xml:space="preserve">      ['no movement loads the sore spinal_erectors directly', 'no accessory uses it as a secondary mover either']</t>
        </is>
      </c>
    </row>
    <row r="109">
      <c r="A109" t="inlineStr">
        <is>
          <t xml:space="preserve"> target ['back', 'biceps'] sore ['legs'] -&gt; strength_upper_pull: ['chest_supported_row_machine', 'assisted_pull_up_machine', 't_bar_row', 'straight_arm_pulldown', 'ez_preacher_curl', 'zottman_curl']</t>
        </is>
      </c>
    </row>
    <row r="110">
      <c r="A110" t="inlineStr">
        <is>
          <t xml:space="preserve">      ['no movement loads the sore calves, glutes, hamstrings, quads directly', 'no accessory uses it as a secondary mover either']</t>
        </is>
      </c>
    </row>
    <row r="111">
      <c r="A111" t="inlineStr">
        <is>
          <t xml:space="preserve"> target ['quads', 'glutes'] sore ['shoulders'] -&gt; strength_glutes_legs: ['barbell_hip_thrust', 'hack_squat', 'box_step_up_glute', 'cable_glute_kickback', 'leg_extension']</t>
        </is>
      </c>
    </row>
    <row r="112">
      <c r="A112" t="inlineStr">
        <is>
          <t xml:space="preserve">      ['no movement loads the sore front_delts, rear_delts, shoulders, side_delts directly', 'no accessory uses it as a secondary mover either']</t>
        </is>
      </c>
    </row>
    <row r="113">
      <c r="A113" t="inlineStr">
        <is>
          <t xml:space="preserve"> target ['quads', 'glutes'] sore ['lower_back'] -&gt; strength_glutes_legs: ['barbell_hip_thrust', 'hack_squat', 'box_step_up_glute', 'cable_glute_kickback', 'leg_extension']</t>
        </is>
      </c>
    </row>
    <row r="114">
      <c r="A114" t="inlineStr">
        <is>
          <t xml:space="preserve">      ['no movement loads the sore spinal_erectors directly', 'no accessory uses it as a secondary mover either']</t>
        </is>
      </c>
    </row>
    <row r="115">
      <c r="A115" t="inlineStr">
        <is>
          <t xml:space="preserve"> target ['quads', 'glutes'] sore ['legs'] -&gt; strength_glutes_legs: ['barbell_hip_thrust', 'hack_squat', 'curtsy_lunge', 'cable_glute_kickback', 'leg_extension']</t>
        </is>
      </c>
    </row>
    <row r="116">
      <c r="A116" t="inlineStr">
        <is>
          <t xml:space="preserve">      ['glutes, quads trained as asked despite soreness']</t>
        </is>
      </c>
    </row>
    <row r="117">
      <c r="A117" t="inlineStr">
        <is>
          <t xml:space="preserve"> target ['chest', 'triceps'] sore ['shoulders'] -&gt; strength_custom_target: ['db_incline_press', 'machine_chest_press', 'low_to_high_cable_fly', 'overhead_cable_extension', 'seated_dip_machine']</t>
        </is>
      </c>
    </row>
    <row r="118">
      <c r="A118" t="inlineStr">
        <is>
          <t xml:space="preserve">      ['no movement loads the sore front_delts, rear_delts, shoulders, side_delts directly', '3 movements still use it as a secondary mover (Incline Dumbbell Press, Machine Chest Press, Low-to-High Cable Fly); everything else avoids it']</t>
        </is>
      </c>
    </row>
    <row r="119">
      <c r="A119" t="inlineStr">
        <is>
          <t xml:space="preserve"> target ['chest', 'triceps'] sore ['lower_back'] -&gt; strength_upper_push: ['db_incline_press', 'parallel_bar_dip', 'single_arm_cable_chest_press', 'pec_deck', 'ez_skull_crusher', 'cross_body_cable_triceps_extension']</t>
        </is>
      </c>
    </row>
    <row r="120">
      <c r="A120" t="inlineStr">
        <is>
          <t xml:space="preserve">      ['no movement loads the sore spinal_erectors directly', 'no accessory uses it as a secondary mover either']</t>
        </is>
      </c>
    </row>
    <row r="121">
      <c r="A121" t="inlineStr">
        <is>
          <t xml:space="preserve"> target ['chest', 'triceps'] sore ['legs'] -&gt; strength_upper_push: ['db_incline_press', 'parallel_bar_dip', 'single_arm_cable_chest_press', 'pec_deck', 'ez_skull_crusher', 'cross_body_cable_triceps_extension']</t>
        </is>
      </c>
    </row>
    <row r="122">
      <c r="A122" t="inlineStr">
        <is>
          <t xml:space="preserve">      ['no movement loads the sore calves, glutes, hamstrings, quads directly', 'no accessory uses it as a secondary mover either']</t>
        </is>
      </c>
    </row>
    <row r="123">
      <c r="A123" t="inlineStr">
        <is>
          <t xml:space="preserve"> target ['chest'] sore ['shoulders'] -&gt; strength_custom_target: ['db_incline_press', 'machine_chest_press', 'parallel_bar_dip', 'low_to_high_cable_fly']</t>
        </is>
      </c>
    </row>
    <row r="124">
      <c r="A124" t="inlineStr">
        <is>
          <t xml:space="preserve">      ['no movement loads the sore front_delts, rear_delts, shoulders, side_delts directly', '4 movements still use it as a secondary mover (Incline Dumbbell Press, Machine Chest Press, Parallel Bar Dip, Low-to-High Cable Fly); everything else avoids it']</t>
        </is>
      </c>
    </row>
    <row r="125">
      <c r="A125" t="inlineStr">
        <is>
          <t xml:space="preserve"> target ['chest'] sore ['lower_back'] -&gt; strength_custom_target: ['db_incline_press', 'machine_chest_press', 'parallel_bar_dip', 'low_to_high_cable_fly']</t>
        </is>
      </c>
    </row>
    <row r="126">
      <c r="A126" t="inlineStr">
        <is>
          <t xml:space="preserve">      ['no movement loads the sore spinal_erectors directly', 'no accessory uses it as a secondary mover either']</t>
        </is>
      </c>
    </row>
    <row r="127">
      <c r="A127" t="inlineStr">
        <is>
          <t xml:space="preserve"> target ['chest'] sore ['legs'] -&gt; strength_custom_target: ['db_incline_press', 'machine_chest_press', 'parallel_bar_dip', 'low_to_high_cable_fly']</t>
        </is>
      </c>
    </row>
    <row r="128">
      <c r="A128" t="inlineStr">
        <is>
          <t xml:space="preserve">      ['no movement loads the sore calves, glutes, hamstrings, quads directly', 'no accessory uses it as a secondary mover either']</t>
        </is>
      </c>
    </row>
    <row r="129">
      <c r="A129" t="inlineStr">
        <is>
          <t xml:space="preserve"> target ['back', 'biceps'] sore ['shoulders'] -&gt; strength_upper_pull: ['assisted_pull_up_machine', 'single_arm_cable_row', 'single_arm_lat_pulldown', 'db_pullover', 'ez_bar_curl', 'bayesian_cable_curl']</t>
        </is>
      </c>
    </row>
    <row r="130">
      <c r="A130" t="inlineStr">
        <is>
          <t xml:space="preserve">      ['no movement loads the sore front_delts, rear_delts, shoulders, side_delts directly', 'no accessory uses it as a secondary mover either']</t>
        </is>
      </c>
    </row>
    <row r="131">
      <c r="A131" t="inlineStr">
        <is>
          <t xml:space="preserve"> target ['back', 'biceps'] sore ['lower_back'] -&gt; strength_upper_pull: ['chest_supported_row_machine', 'chin_up', 'single_arm_db_row', 'straight_arm_pulldown', 'ez_bar_curl', 'bayesian_cable_curl']</t>
        </is>
      </c>
    </row>
    <row r="132">
      <c r="A132" t="inlineStr">
        <is>
          <t xml:space="preserve">      ['no movement loads the sore spinal_erectors directly', 'no accessory uses it as a secondary mover either']</t>
        </is>
      </c>
    </row>
    <row r="133">
      <c r="A133" t="inlineStr">
        <is>
          <t xml:space="preserve"> target ['back', 'biceps'] sore ['legs'] -&gt; strength_upper_pull: ['chest_supported_row_machine', 'chin_up', 'single_arm_db_row', 'straight_arm_pulldown', 'ez_bar_curl', 'bayesian_cable_curl']</t>
        </is>
      </c>
    </row>
    <row r="134">
      <c r="A134" t="inlineStr">
        <is>
          <t xml:space="preserve">      ['no movement loads the sore calves, glutes, hamstrings, quads directly', 'no accessory uses it as a secondary mover either']</t>
        </is>
      </c>
    </row>
    <row r="135">
      <c r="A135" t="inlineStr">
        <is>
          <t xml:space="preserve"> target ['quads', 'glutes'] sore ['shoulders'] -&gt; strength_glutes_legs: ['barbell_hip_thrust', 'hack_squat', 'curtsy_lunge', 'frog_pump', 'reverse_nordic']</t>
        </is>
      </c>
    </row>
    <row r="136">
      <c r="A136" t="inlineStr">
        <is>
          <t xml:space="preserve">      ['no movement loads the sore front_delts, rear_delts, shoulders, side_delts directly', 'no accessory uses it as a secondary mover either']</t>
        </is>
      </c>
    </row>
    <row r="137">
      <c r="A137" t="inlineStr">
        <is>
          <t xml:space="preserve"> target ['quads', 'glutes'] sore ['lower_back'] -&gt; strength_glutes_legs: ['barbell_hip_thrust', 'hack_squat', 'curtsy_lunge', 'frog_pump', 'reverse_nordic']</t>
        </is>
      </c>
    </row>
    <row r="138">
      <c r="A138" t="inlineStr">
        <is>
          <t xml:space="preserve">      ['no movement loads the sore spinal_erectors directly', 'no accessory uses it as a secondary mover either']</t>
        </is>
      </c>
    </row>
    <row r="139">
      <c r="A139" t="inlineStr">
        <is>
          <t xml:space="preserve"> target ['quads', 'glutes'] sore ['legs'] -&gt; strength_glutes_legs: ['barbell_hip_thrust', 'hack_squat', 'curtsy_lunge', 'frog_pump', 'reverse_nordic']</t>
        </is>
      </c>
    </row>
    <row r="140">
      <c r="A140" t="inlineStr">
        <is>
          <t xml:space="preserve">      ['glutes, quads trained as asked despite soreness']</t>
        </is>
      </c>
    </row>
    <row r="141">
      <c r="A141" t="inlineStr"/>
    </row>
    <row r="142">
      <c r="A142">
        <f>= SEQUENTIAL</f>
        <v/>
      </c>
    </row>
    <row r="143">
      <c r="A143" t="inlineStr">
        <is>
          <t xml:space="preserve"> h1: traditional/drop_set | paired | volume/slow_eccentric | paired/pause | traditional/slow_eccentric/fin | paired | volume | paired/one_and_half | traditional | volume/slow_eccentric</t>
        </is>
      </c>
    </row>
    <row r="144">
      <c r="A144" t="inlineStr">
        <is>
          <t xml:space="preserve">      back-to-back repeats: variant 0 expression 0 method 0 finisher 0</t>
        </is>
      </c>
    </row>
    <row r="145">
      <c r="A145" t="inlineStr">
        <is>
          <t xml:space="preserve"> h2: volume/top_set/pause | paired/heavy_end/drop_set | volume/extra_set_paired/one_and_half | traditional/heavy_end/fin | top_backoff/extra_set_paired/drop_set | top_backoff/top_set/one_and_half | volume/heavy_end/slow_eccentric | top_backoff/top_set</t>
        </is>
      </c>
    </row>
    <row r="146">
      <c r="A146" t="inlineStr">
        <is>
          <t xml:space="preserve">      back-to-back repeats: variant 1 expression 0 method 0 finisher 0</t>
        </is>
      </c>
    </row>
    <row r="147">
      <c r="A147" t="inlineStr">
        <is>
          <t xml:space="preserve"> h3: heavy_primary/heavy_primary/drop_set | paired/forceful_finish | heavy_primary/heavy_primary/rest_pause | heavy_primary/heavy_primary | traditional/heavy_primary | heavy_primary/heavy_primary | paired/direct_simple | heavy_primary/heavy_primary</t>
        </is>
      </c>
    </row>
    <row r="148">
      <c r="A148" t="inlineStr">
        <is>
          <t xml:space="preserve">      back-to-back repeats: variant 1 expression 3 method 0 finisher 0</t>
        </is>
      </c>
    </row>
    <row r="149">
      <c r="A149" t="inlineStr">
        <is>
          <t xml:space="preserve"> h4: traditional/moderate_load | traditional/cost_down | traditional/moderate_load | heavy_primary/simplify | traditional/cost_down/pause | heavy_primary/moderate_load | volume/simplify | volume/cost_down</t>
        </is>
      </c>
    </row>
    <row r="150">
      <c r="A150" t="inlineStr">
        <is>
          <t xml:space="preserve">      back-to-back repeats: variant 3 expression 0 method 0 finisher 0</t>
        </is>
      </c>
    </row>
    <row r="151">
      <c r="A151" t="inlineStr">
        <is>
          <t xml:space="preserve"> h5: top_backoff/new_exercises/slow_eccentric | paired/new_structure/slow_eccentric | volume/fresh_finish/pause | paired/new_structure/rest_pause | volume/fresh_finish/slow_eccentric | traditional/new_exercises/rest_pause | paired/fresh_finish/drop_set | volume/new_structure/rest_pause</t>
        </is>
      </c>
    </row>
    <row r="152">
      <c r="A152" t="inlineStr">
        <is>
          <t xml:space="preserve">      back-to-back repeats: variant 0 expression 0 method 1 finisher 0</t>
        </is>
      </c>
    </row>
    <row r="153">
      <c r="A153" t="inlineStr">
        <is>
          <t xml:space="preserve"> h6: traditional/controlled | volume/simpler | traditional/predictable/slow_eccentric | traditional/simpler/slow_eccentric | volume/predictable | traditional/simpler | volume/controlled | traditional/simpler/pause</t>
        </is>
      </c>
    </row>
    <row r="154">
      <c r="A154" t="inlineStr">
        <is>
          <t xml:space="preserve">      back-to-back repeats: variant 1 expression 0 method 1 finisher 0</t>
        </is>
      </c>
    </row>
    <row r="155">
      <c r="A155" t="inlineStr">
        <is>
          <t xml:space="preserve"> h7: traditional | top_backoff/top_set | paired/new_structure/drop_set | traditional | paired/cost_down | heavy_primary/forceful_finish | volume | traditional/controlled | volume/heavy_end/pause/fin | heavy_primary/slow_eccentric</t>
        </is>
      </c>
    </row>
    <row r="156">
      <c r="A156" t="inlineStr">
        <is>
          <t xml:space="preserve">      back-to-back repeats: variant 0 expression 0 method 0 finisher 0</t>
        </is>
      </c>
    </row>
    <row r="157">
      <c r="A157" t="inlineStr"/>
    </row>
    <row r="158">
      <c r="A158">
        <f>= STATE COHERENCE (whole-session check after reconciliation; fail / judged by resolved combination)</f>
        <v/>
      </c>
    </row>
    <row r="159">
      <c r="A159" t="inlineStr">
        <is>
          <t xml:space="preserve">  amped                        -&gt; amped        390/390  pass (100%)</t>
        </is>
      </c>
    </row>
    <row r="160">
      <c r="A160" t="inlineStr">
        <is>
          <t xml:space="preserve">  amped + bored                -&gt; amped        265/270  pass (98%)</t>
        </is>
      </c>
    </row>
    <row r="161">
      <c r="A161" t="inlineStr">
        <is>
          <t xml:space="preserve">  amped + bored                -&gt; bored        270/270  pass (100%)</t>
        </is>
      </c>
    </row>
    <row r="162">
      <c r="A162" t="inlineStr">
        <is>
          <t xml:space="preserve">  amped + stressed             -&gt; amped        266/270  pass (99%)</t>
        </is>
      </c>
    </row>
    <row r="163">
      <c r="A163" t="inlineStr">
        <is>
          <t xml:space="preserve">  amped + stressed             -&gt; stressed     270/270  pass (100%)</t>
        </is>
      </c>
    </row>
    <row r="164">
      <c r="A164" t="inlineStr">
        <is>
          <t xml:space="preserve">  bored                        -&gt; bored        333/333  pass (100%)</t>
        </is>
      </c>
    </row>
    <row r="165">
      <c r="A165" t="inlineStr">
        <is>
          <t xml:space="preserve">  bored + low_energy           -&gt; bored        268/270  pass (99%)</t>
        </is>
      </c>
    </row>
    <row r="166">
      <c r="A166" t="inlineStr">
        <is>
          <t xml:space="preserve">  bored + low_energy           -&gt; low_energy   258/270  pass (96%)</t>
        </is>
      </c>
    </row>
    <row r="167">
      <c r="A167" t="inlineStr">
        <is>
          <t xml:space="preserve">  bored + stressed             -&gt; bored        260/270  pass (96%)</t>
        </is>
      </c>
    </row>
    <row r="168">
      <c r="A168" t="inlineStr">
        <is>
          <t xml:space="preserve">  bored + stressed             -&gt; stressed     270/270  pass (100%)</t>
        </is>
      </c>
    </row>
    <row r="169">
      <c r="A169" t="inlineStr">
        <is>
          <t xml:space="preserve">  irritated                    -&gt; irritated    381/389  pass (98%)</t>
        </is>
      </c>
    </row>
    <row r="170">
      <c r="A170" t="inlineStr">
        <is>
          <t xml:space="preserve">  irritated + low_energy       -&gt; irritated    269/270  pass (100%)</t>
        </is>
      </c>
    </row>
    <row r="171">
      <c r="A171" t="inlineStr">
        <is>
          <t xml:space="preserve">  irritated + low_energy       -&gt; low_energy   265/270  pass (98%)</t>
        </is>
      </c>
    </row>
    <row r="172">
      <c r="A172" t="inlineStr">
        <is>
          <t xml:space="preserve">  irritated + stressed         -&gt; irritated    267/270  pass (99%)</t>
        </is>
      </c>
    </row>
    <row r="173">
      <c r="A173" t="inlineStr">
        <is>
          <t xml:space="preserve">  irritated + stressed         -&gt; stressed     270/270  pass (100%)</t>
        </is>
      </c>
    </row>
    <row r="174">
      <c r="A174" t="inlineStr">
        <is>
          <t xml:space="preserve">  low_energy                   -&gt; low_energy   327/333  pass (98%)</t>
        </is>
      </c>
    </row>
    <row r="175">
      <c r="A175" t="inlineStr">
        <is>
          <t xml:space="preserve">  low_energy + amped           -&gt; amped        270/270  pass (100%)</t>
        </is>
      </c>
    </row>
    <row r="176">
      <c r="A176" t="inlineStr">
        <is>
          <t xml:space="preserve">  low_energy + amped           -&gt; low_energy   268/270  pass (99%)</t>
        </is>
      </c>
    </row>
    <row r="177">
      <c r="A177" t="inlineStr">
        <is>
          <t xml:space="preserve">  stressed                     -&gt; stressed     333/333  pass (100%)</t>
        </is>
      </c>
    </row>
    <row r="178">
      <c r="A178" t="inlineStr">
        <is>
          <t xml:space="preserve">  overall pass 99.0%  (58 failures of 5558)</t>
        </is>
      </c>
    </row>
    <row r="179">
      <c r="A179" t="inlineStr">
        <is>
          <t xml:space="preserve">  failure reasons:</t>
        </is>
      </c>
    </row>
    <row r="180">
      <c r="A180" t="inlineStr">
        <is>
          <t xml:space="preserve">     ('bored', 'experiential difference score 0 below 1') 12</t>
        </is>
      </c>
    </row>
    <row r="181">
      <c r="A181" t="inlineStr">
        <is>
          <t xml:space="preserve">     ('irritated', 'no perceptible direct or heavy quality anywhere in the sessi') 12</t>
        </is>
      </c>
    </row>
    <row r="182">
      <c r="A182" t="inlineStr">
        <is>
          <t xml:space="preserve">     ('low_energy', '2 demanding compounds (Trap-Bar Deadlift, Reverse Lunge to O') 12</t>
        </is>
      </c>
    </row>
    <row r="183">
      <c r="A183" t="inlineStr">
        <is>
          <t xml:space="preserve">     ('amped', 'readiness not used anywhere meaningful (primary effort, load') 9</t>
        </is>
      </c>
    </row>
    <row r="184">
      <c r="A184" t="inlineStr">
        <is>
          <t xml:space="preserve">     ('low_energy', 'total sets 12 above the Low Energy budget 11') 4</t>
        </is>
      </c>
    </row>
    <row r="185">
      <c r="A185" t="inlineStr">
        <is>
          <t xml:space="preserve">     ('low_energy', '2 demanding compounds (Barbell Romanian Deadlift, Reverse Lu') 4</t>
        </is>
      </c>
    </row>
    <row r="186">
      <c r="A186" t="inlineStr">
        <is>
          <t xml:space="preserve">     ('low_energy', '6 station changes') 2</t>
        </is>
      </c>
    </row>
    <row r="187">
      <c r="A187" t="inlineStr">
        <is>
          <t xml:space="preserve">     ('low_energy', '2 demanding compounds (Trap-Bar Deadlift, Dumbbell Thruster)') 2</t>
        </is>
      </c>
    </row>
    <row r="188">
      <c r="A188" t="inlineStr">
        <is>
          <t xml:space="preserve">     ('low_energy', 'dense pairing on top of high volume') 1</t>
        </is>
      </c>
    </row>
    <row r="189">
      <c r="A189" t="inlineStr">
        <is>
          <t xml:space="preserve">  repairs applied:</t>
        </is>
      </c>
    </row>
    <row r="190">
      <c r="A190" t="inlineStr">
        <is>
          <t xml:space="preserve">     ('low_energy', 'trim_accessory_sets') 212</t>
        </is>
      </c>
    </row>
    <row r="191">
      <c r="A191" t="inlineStr">
        <is>
          <t xml:space="preserve">     ('amped', 'trim_near_failure') 202</t>
        </is>
      </c>
    </row>
    <row r="192">
      <c r="A192" t="inlineStr">
        <is>
          <t xml:space="preserve">     ('irritated', 'primary_intent_and_heavier') 185</t>
        </is>
      </c>
    </row>
    <row r="193">
      <c r="A193" t="inlineStr">
        <is>
          <t xml:space="preserve">     ('low_energy', 'extend_rest') 115</t>
        </is>
      </c>
    </row>
    <row r="194">
      <c r="A194" t="inlineStr">
        <is>
          <t xml:space="preserve">     ('low_energy', 'accessory_rir_floor_2') 91</t>
        </is>
      </c>
    </row>
    <row r="195">
      <c r="A195" t="inlineStr">
        <is>
          <t xml:space="preserve">     ('low_energy', 'remove_optional_accessory') 86</t>
        </is>
      </c>
    </row>
    <row r="196">
      <c r="A196" t="inlineStr">
        <is>
          <t xml:space="preserve">     ('amped', 'primary_intent') 59</t>
        </is>
      </c>
    </row>
    <row r="197">
      <c r="A197" t="inlineStr">
        <is>
          <t xml:space="preserve">     ('irritated', 'drop_soft_method') 47</t>
        </is>
      </c>
    </row>
    <row r="198">
      <c r="A198" t="inlineStr">
        <is>
          <t xml:space="preserve">     ('low_energy', 'drop_finisher') 28</t>
        </is>
      </c>
    </row>
    <row r="199">
      <c r="A199" t="inlineStr">
        <is>
          <t xml:space="preserve">     ('stressed', 'remove_optional_accessory') 22</t>
        </is>
      </c>
    </row>
    <row r="200">
      <c r="A200" t="inlineStr">
        <is>
          <t xml:space="preserve">     ('amped', 'primary_heavier') 20</t>
        </is>
      </c>
    </row>
    <row r="201">
      <c r="A201" t="inlineStr">
        <is>
          <t xml:space="preserve">     ('bored', 'force_method') 17</t>
        </is>
      </c>
    </row>
    <row r="202">
      <c r="A202" t="inlineStr">
        <is>
          <t xml:space="preserve">     ('stressed', 'drop_finisher') 14</t>
        </is>
      </c>
    </row>
    <row r="203">
      <c r="A203" t="inlineStr">
        <is>
          <t xml:space="preserve">     ('stressed', 'drop_counting_method') 9</t>
        </is>
      </c>
    </row>
    <row r="204">
      <c r="A204" t="inlineStr">
        <is>
          <t xml:space="preserve">     ('amped', 'primary_extra_set') 9</t>
        </is>
      </c>
    </row>
    <row r="205">
      <c r="A205" t="inlineStr">
        <is>
          <t xml:space="preserve">     ('stressed', 'unpair') 3</t>
        </is>
      </c>
    </row>
    <row r="206">
      <c r="A206" t="inlineStr">
        <is>
          <t xml:space="preserve">     ('irritated', 'unpair') 3</t>
        </is>
      </c>
    </row>
    <row r="207">
      <c r="A207" t="inlineStr">
        <is>
          <t xml:space="preserve">     ('amped', 'primary_rir_down') 3</t>
        </is>
      </c>
    </row>
    <row r="208">
      <c r="A208" t="inlineStr">
        <is>
          <t xml:space="preserve">  ALL FAILURES (combination, state, level, duration, archetype, reasons):</t>
        </is>
      </c>
    </row>
    <row r="209">
      <c r="A209" t="inlineStr">
        <is>
          <t xml:space="preserve">     ('low_energy', 'low_energy', 'intermediate', 30, 'strength_arms', ['total sets 12 above the Low Energy budget 11'])</t>
        </is>
      </c>
    </row>
    <row r="210">
      <c r="A210" t="inlineStr">
        <is>
          <t xml:space="preserve">     ('bored + low_energy', 'low_energy', 'intermediate', 30, 'strength_arms', ['total sets 12 above the Low Energy budget 11'])</t>
        </is>
      </c>
    </row>
    <row r="211">
      <c r="A211" t="inlineStr">
        <is>
          <t xml:space="preserve">     ('amped + bored', 'amped', 'intermediate', 30, 'strength_arms', ['readiness not used anywhere meaningful (primary effort, loading, scheme, method, density or finisher)'])</t>
        </is>
      </c>
    </row>
    <row r="212">
      <c r="A212" t="inlineStr">
        <is>
          <t xml:space="preserve">     ('irritated + low_energy', 'low_energy', 'intermediate', 30, 'strength_arms', ['total sets 12 above the Low Energy budget 11'])</t>
        </is>
      </c>
    </row>
    <row r="213">
      <c r="A213" t="inlineStr">
        <is>
          <t xml:space="preserve">     ('amped + stressed', 'amped', 'advanced', 30, 'strength_core', ['readiness not used anywhere meaningful (primary effort, loading, scheme, method, density or finisher)'])</t>
        </is>
      </c>
    </row>
    <row r="214">
      <c r="A214" t="inlineStr">
        <is>
          <t xml:space="preserve">     ('amped + stressed', 'amped', 'advanced', 60, 'strength_core', ['readiness not used anywhere meaningful (primary effort, loading, scheme, method, density or finisher)'])</t>
        </is>
      </c>
    </row>
    <row r="215">
      <c r="A215" t="inlineStr">
        <is>
          <t xml:space="preserve">     ('bored + stressed', 'bored', 'beginner', 30, 'strength_core', ['experiential difference score 0 below 1'])</t>
        </is>
      </c>
    </row>
    <row r="216">
      <c r="A216" t="inlineStr">
        <is>
          <t xml:space="preserve">     ('bored + stressed', 'bored', 'beginner', 60, 'strength_core', ['experiential difference score 0 below 1'])</t>
        </is>
      </c>
    </row>
    <row r="217">
      <c r="A217" t="inlineStr">
        <is>
          <t xml:space="preserve">     ('irritated + low_energy', 'irritated', 'advanced', 30, 'strength_core', ['no perceptible direct or heavy quality anywhere in the session'])</t>
        </is>
      </c>
    </row>
    <row r="218">
      <c r="A218" t="inlineStr">
        <is>
          <t xml:space="preserve">     ('bored + low_energy', 'low_energy', 'intermediate', 30, 'strength_full_body', ['2 demanding compounds (Barbell Romanian Deadlift, Reverse Lunge to Overhead Press)'])</t>
        </is>
      </c>
    </row>
    <row r="219">
      <c r="A219" t="inlineStr">
        <is>
          <t xml:space="preserve">     ('bored + low_energy', 'low_energy', 'advanced', 30, 'strength_full_body', ['2 demanding compounds (Barbell Romanian Deadlift, Reverse Lunge to Overhead Press)'])</t>
        </is>
      </c>
    </row>
    <row r="220">
      <c r="A220" t="inlineStr">
        <is>
          <t xml:space="preserve">     ('bored + low_energy', 'low_energy', 'intermediate', 60, 'strength_full_body', ['2 demanding compounds (Barbell Romanian Deadlift, Reverse Lunge to Overhead Press)'])</t>
        </is>
      </c>
    </row>
    <row r="221">
      <c r="A221" t="inlineStr">
        <is>
          <t xml:space="preserve">     ('bored + low_energy', 'low_energy', 'advanced', 60, 'strength_full_body', ['2 demanding compounds (Barbell Romanian Deadlift, Reverse Lunge to Overhead Press)'])</t>
        </is>
      </c>
    </row>
    <row r="222">
      <c r="A222" t="inlineStr">
        <is>
          <t xml:space="preserve">     ('amped + stressed', 'amped', 'beginner', 30, 'strength_core', ['readiness not used anywhere meaningful (primary effort, loading, scheme, method, density or finisher)'])</t>
        </is>
      </c>
    </row>
    <row r="223">
      <c r="A223" t="inlineStr">
        <is>
          <t xml:space="preserve">     ('amped + stressed', 'amped', 'beginner', 60, 'strength_core', ['readiness not used anywhere meaningful (primary effort, loading, scheme, method, density or finisher)'])</t>
        </is>
      </c>
    </row>
    <row r="224">
      <c r="A224" t="inlineStr">
        <is>
          <t xml:space="preserve">     ('irritated + stressed', 'irritated', 'beginner', 30, 'strength_core', ['no perceptible direct or heavy quality anywhere in the session'])</t>
        </is>
      </c>
    </row>
    <row r="225">
      <c r="A225" t="inlineStr">
        <is>
          <t xml:space="preserve">     ('irritated + stressed', 'irritated', 'intermediate', 30, 'strength_core', ['no perceptible direct or heavy quality anywhere in the session'])</t>
        </is>
      </c>
    </row>
    <row r="226">
      <c r="A226" t="inlineStr">
        <is>
          <t xml:space="preserve">     ('irritated + stressed', 'irritated', 'advanced', 30, 'strength_core', ['no perceptible direct or heavy quality anywhere in the session'])</t>
        </is>
      </c>
    </row>
    <row r="227">
      <c r="A227" t="inlineStr">
        <is>
          <t xml:space="preserve">     ('bored + stressed', 'bored', 'beginner', 30, 'strength_core', ['experiential difference score 0 below 1'])</t>
        </is>
      </c>
    </row>
    <row r="228">
      <c r="A228" t="inlineStr">
        <is>
          <t xml:space="preserve">     ('bored + stressed', 'bored', 'beginner', 60, 'strength_core', ['experiential difference score 0 below 1'])</t>
        </is>
      </c>
    </row>
    <row r="229">
      <c r="A229" t="inlineStr">
        <is>
          <t xml:space="preserve">     ('bored + low_energy', 'low_energy', 'advanced', 60, 'strength_core', ['6 station changes'])</t>
        </is>
      </c>
    </row>
    <row r="230">
      <c r="A230" t="inlineStr">
        <is>
          <t xml:space="preserve">     ('bored + stressed', 'bored', 'beginner', 30, 'strength_core', ['experiential difference score 0 below 1'])</t>
        </is>
      </c>
    </row>
    <row r="231">
      <c r="A231" t="inlineStr">
        <is>
          <t xml:space="preserve">     ('bored + stressed', 'bored', 'beginner', 60, 'strength_core', ['experiential difference score 0 below 1'])</t>
        </is>
      </c>
    </row>
    <row r="232">
      <c r="A232" t="inlineStr">
        <is>
          <t xml:space="preserve">     ('bored + low_energy', 'low_energy', 'intermediate', 30, 'strength_arms', ['total sets 12 above the Low Energy budget 11'])</t>
        </is>
      </c>
    </row>
    <row r="233">
      <c r="A233" t="inlineStr">
        <is>
          <t xml:space="preserve">     ('amped + bored', 'amped', 'intermediate', 30, 'strength_arms', ['readiness not used anywhere meaningful (primary effort, loading, scheme, method, density or finisher)'])</t>
        </is>
      </c>
    </row>
    <row r="234">
      <c r="A234" t="inlineStr">
        <is>
          <t xml:space="preserve">     ('amped + bored', 'amped', 'advanced', 30, 'strength_arms', ['readiness not used anywhere meaningful (primary effort, loading, scheme, method, density or finisher)'])</t>
        </is>
      </c>
    </row>
    <row r="235">
      <c r="A235" t="inlineStr">
        <is>
          <t xml:space="preserve">     ('low_energy', 'low_energy', 'intermediate', 30, 'strength_full_body', ['2 demanding compounds (Trap-Bar Deadlift, Reverse Lunge to Overhead Press)'])</t>
        </is>
      </c>
    </row>
    <row r="236">
      <c r="A236" t="inlineStr">
        <is>
          <t xml:space="preserve">     ('low_energy', 'low_energy', 'advanced', 30, 'strength_full_body', ['2 demanding compounds (Trap-Bar Deadlift, Reverse Lunge to Overhead Press)'])</t>
        </is>
      </c>
    </row>
    <row r="237">
      <c r="A237" t="inlineStr">
        <is>
          <t xml:space="preserve">     ('low_energy', 'low_energy', 'intermediate', 60, 'strength_full_body', ['2 demanding compounds (Trap-Bar Deadlift, Reverse Lunge to Overhead Press)'])</t>
        </is>
      </c>
    </row>
    <row r="238">
      <c r="A238" t="inlineStr">
        <is>
          <t xml:space="preserve">     ('low_energy', 'low_energy', 'advanced', 60, 'strength_full_body', ['2 demanding compounds (Trap-Bar Deadlift, Reverse Lunge to Overhead Press)'])</t>
        </is>
      </c>
    </row>
    <row r="239">
      <c r="A239" t="inlineStr">
        <is>
          <t xml:space="preserve">     ('bored + low_energy', 'low_energy', 'intermediate', 30, 'strength_full_body', ['2 demanding compounds (Trap-Bar Deadlift, Dumbbell Thruster)'])</t>
        </is>
      </c>
    </row>
    <row r="240">
      <c r="A240" t="inlineStr">
        <is>
          <t xml:space="preserve">     ('bored + low_energy', 'low_energy', 'advanced', 30, 'strength_full_body', ['2 demanding compounds (Trap-Bar Deadlift, Dumbbell Thruster)'])</t>
        </is>
      </c>
    </row>
    <row r="241">
      <c r="A241" t="inlineStr">
        <is>
          <t xml:space="preserve">     ('bored + low_energy', 'low_energy', 'intermediate', 60, 'strength_full_body', ['2 demanding compounds (Trap-Bar Deadlift, Reverse Lunge to Overhead Press)'])</t>
        </is>
      </c>
    </row>
    <row r="242">
      <c r="A242" t="inlineStr">
        <is>
          <t xml:space="preserve">     ('bored + low_energy', 'low_energy', 'advanced', 60, 'strength_full_body', ['2 demanding compounds (Trap-Bar Deadlift, Reverse Lunge to Overhead Press)'])</t>
        </is>
      </c>
    </row>
    <row r="243">
      <c r="A243" t="inlineStr">
        <is>
          <t xml:space="preserve">     ('low_energy + amped', 'low_energy', 'intermediate', 60, 'strength_full_body', ['2 demanding compounds (Trap-Bar Deadlift, Reverse Lunge to Overhead Press)'])</t>
        </is>
      </c>
    </row>
    <row r="244">
      <c r="A244" t="inlineStr">
        <is>
          <t xml:space="preserve">     ('low_energy + amped', 'low_energy', 'advanced', 60, 'strength_full_body', ['2 demanding compounds (Trap-Bar Deadlift, Reverse Lunge to Overhead Press)'])</t>
        </is>
      </c>
    </row>
    <row r="245">
      <c r="A245" t="inlineStr">
        <is>
          <t xml:space="preserve">     ('irritated + low_energy', 'low_energy', 'intermediate', 30, 'strength_full_body', ['2 demanding compounds (Trap-Bar Deadlift, Reverse Lunge to Overhead Press)'])</t>
        </is>
      </c>
    </row>
    <row r="246">
      <c r="A246" t="inlineStr">
        <is>
          <t xml:space="preserve">     ('irritated + low_energy', 'low_energy', 'advanced', 30, 'strength_full_body', ['2 demanding compounds (Trap-Bar Deadlift, Reverse Lunge to Overhead Press)'])</t>
        </is>
      </c>
    </row>
    <row r="247">
      <c r="A247" t="inlineStr">
        <is>
          <t xml:space="preserve">     ('irritated + low_energy', 'low_energy', 'intermediate', 60, 'strength_full_body', ['2 demanding compounds (Trap-Bar Deadlift, Reverse Lunge to Overhead Press)'])</t>
        </is>
      </c>
    </row>
    <row r="248">
      <c r="A248" t="inlineStr">
        <is>
          <t xml:space="preserve">     ('irritated + low_energy', 'low_energy', 'advanced', 60, 'strength_full_body', ['2 demanding compounds (Trap-Bar Deadlift, Reverse Lunge to Overhead Press)'])</t>
        </is>
      </c>
    </row>
    <row r="249">
      <c r="A249" t="inlineStr">
        <is>
          <t xml:space="preserve">     ('amped + bored', 'amped', 'intermediate', 30, 'strength_core', ['readiness not used anywhere meaningful (primary effort, loading, scheme, method, density or finisher)'])</t>
        </is>
      </c>
    </row>
    <row r="250">
      <c r="A250" t="inlineStr">
        <is>
          <t xml:space="preserve">     ('amped + bored', 'amped', 'intermediate', 60, 'strength_core', ['readiness not used anywhere meaningful (primary effort, loading, scheme, method, density or finisher)'])</t>
        </is>
      </c>
    </row>
    <row r="251">
      <c r="A251" t="inlineStr">
        <is>
          <t xml:space="preserve">     ('bored + stressed', 'bored', 'beginner', 30, 'strength_core', ['experiential difference score 0 below 1'])</t>
        </is>
      </c>
    </row>
    <row r="252">
      <c r="A252" t="inlineStr">
        <is>
          <t xml:space="preserve">     ('bored + stressed', 'bored', 'beginner', 60, 'strength_core', ['experiential difference score 0 below 1'])</t>
        </is>
      </c>
    </row>
    <row r="253">
      <c r="A253" t="inlineStr">
        <is>
          <t xml:space="preserve">     ('bored + low_energy', 'bored', 'beginner', 30, 'strength_core', ['experiential difference score 0 below 1'])</t>
        </is>
      </c>
    </row>
    <row r="254">
      <c r="A254" t="inlineStr">
        <is>
          <t xml:space="preserve">     ('bored + low_energy', 'bored', 'beginner', 60, 'strength_core', ['experiential difference score 0 below 1'])</t>
        </is>
      </c>
    </row>
    <row r="255">
      <c r="A255" t="inlineStr">
        <is>
          <t xml:space="preserve">     ('bored + low_energy', 'low_energy', 'advanced', 60, 'strength_core', ['6 station changes'])</t>
        </is>
      </c>
    </row>
    <row r="256">
      <c r="A256" t="inlineStr">
        <is>
          <t xml:space="preserve">     ('bored + stressed', 'bored', 'beginner', 30, 'strength_core', ['experiential difference score 0 below 1'])</t>
        </is>
      </c>
    </row>
    <row r="257">
      <c r="A257" t="inlineStr">
        <is>
          <t xml:space="preserve">     ('bored + stressed', 'bored', 'beginner', 60, 'strength_core', ['experiential difference score 0 below 1'])</t>
        </is>
      </c>
    </row>
    <row r="258">
      <c r="A258" t="inlineStr">
        <is>
          <t xml:space="preserve">     ('irritated', 'irritated', 'intermediate', 30, 'strength_custom_target', ['no perceptible direct or heavy quality anywhere in the session'])</t>
        </is>
      </c>
    </row>
    <row r="259">
      <c r="A259" t="inlineStr">
        <is>
          <t xml:space="preserve">     ('irritated', 'irritated', 'intermediate', 60, 'strength_custom_target', ['no perceptible direct or heavy quality anywhere in the session'])</t>
        </is>
      </c>
    </row>
    <row r="260">
      <c r="A260" t="inlineStr">
        <is>
          <t xml:space="preserve">     ('low_energy', 'low_energy', 'intermediate', 60, 'strength_custom_target', ['dense pairing on top of high volume'])</t>
        </is>
      </c>
    </row>
    <row r="261">
      <c r="A261" t="inlineStr">
        <is>
          <t xml:space="preserve">     ('irritated', 'irritated', 'intermediate', 30, 'strength_custom_target', ['no perceptible direct or heavy quality anywhere in the session'])</t>
        </is>
      </c>
    </row>
    <row r="262">
      <c r="A262" t="inlineStr">
        <is>
          <t xml:space="preserve">     ('irritated', 'irritated', 'intermediate', 60, 'strength_custom_target', ['no perceptible direct or heavy quality anywhere in the session'])</t>
        </is>
      </c>
    </row>
    <row r="263">
      <c r="A263" t="inlineStr">
        <is>
          <t xml:space="preserve">     ('irritated', 'irritated', 'intermediate', 30, 'strength_custom_target', ['no perceptible direct or heavy quality anywhere in the session'])</t>
        </is>
      </c>
    </row>
    <row r="264">
      <c r="A264" t="inlineStr">
        <is>
          <t xml:space="preserve">     ('irritated', 'irritated', 'intermediate', 60, 'strength_custom_target', ['no perceptible direct or heavy quality anywhere in the session'])</t>
        </is>
      </c>
    </row>
    <row r="265">
      <c r="A265" t="inlineStr">
        <is>
          <t xml:space="preserve">     ('irritated', 'irritated', 'intermediate', 30, 'strength_custom_target', ['no perceptible direct or heavy quality anywhere in the session'])</t>
        </is>
      </c>
    </row>
    <row r="266">
      <c r="A266" t="inlineStr">
        <is>
          <t xml:space="preserve">     ('irritated', 'irritated', 'intermediate', 60, 'strength_custom_target', ['no perceptible direct or heavy quality anywhere in the session'])</t>
        </is>
      </c>
    </row>
    <row r="267">
      <c r="A267" t="inlineStr"/>
    </row>
    <row r="268">
      <c r="A268">
        <f>= CORE SESSIONS (respect requested duration)</f>
        <v/>
      </c>
    </row>
    <row r="269">
      <c r="A269" t="inlineStr">
        <is>
          <t xml:space="preserve">  60-min Core n=195: est mean 53.3 min, min 47.0, max 59.8, in 50-60: 84% (163/195); exercises 6.5; sets 20.4; expectation flag 100% (195/195)</t>
        </is>
      </c>
    </row>
    <row r="270">
      <c r="A270" t="inlineStr">
        <is>
          <t xml:space="preserve">     category coverage {'brace_load': 208, 'anti_extension': 195, 'posterior': 182, 'anti_rotation': 150, 'carry': 195, 'rotation': 150, 'flexion': 240}; distinct categories/session 6.5</t>
        </is>
      </c>
    </row>
    <row r="271">
      <c r="A271" t="inlineStr">
        <is>
          <t xml:space="preserve">     beginner     est 51.0 sets 18.0 RIR {2: 33, 3: 2} methods 0% (0/5) lead {'half_kneeling_landmine_press': 5}</t>
        </is>
      </c>
    </row>
    <row r="272">
      <c r="A272" t="inlineStr">
        <is>
          <t xml:space="preserve">     intermediate est 56.3 sets 23.0 RIR {1: 25, 2: 10} methods 40% (2/5) lead {'z_press': 1, 'barbell_overhead_press': 1, 'half_kneeling_landmine_press': 1}</t>
        </is>
      </c>
    </row>
    <row r="273">
      <c r="A273" t="inlineStr">
        <is>
          <t xml:space="preserve">     advanced     est 55.1 sets 23.0 RIR {1: 25, 2: 10} methods 40% (2/5) lead {'z_press': 2, 'barbell_overhead_press': 2, 'front_squat': 1}</t>
        </is>
      </c>
    </row>
    <row r="274">
      <c r="A274" t="inlineStr">
        <is>
          <t xml:space="preserve">     duplicate exercise in a session: 0; state satisfaction in Core: {'low_energy': '100% (60/60)', 'stressed': '100% (60/60)', 'bored': '100% (60/60)', 'irritated': '100% (45/45)', 'amped': '100% (60/60)'}</t>
        </is>
      </c>
    </row>
    <row r="275">
      <c r="A275" t="inlineStr">
        <is>
          <t xml:space="preserve">  30-min Core n=195: est mean 27.5 min, min 23.9, max 32.2, in 25-33: 86% (167/195); exercises 3.7; sets 10.7; expectation flag 0% (0/195)</t>
        </is>
      </c>
    </row>
    <row r="276">
      <c r="A276" t="inlineStr">
        <is>
          <t xml:space="preserve">     category coverage {'brace_load': 195, 'anti_extension': 195, 'anti_rotation': 150, 'flexion': 195}; distinct categories/session 3.8</t>
        </is>
      </c>
    </row>
    <row r="277">
      <c r="A277" t="inlineStr">
        <is>
          <t xml:space="preserve">     beginner     est 25.9 sets 9.0 RIR {2: 19, 3: 1} methods 0% (0/5) lead {'half_kneeling_landmine_press': 5}</t>
        </is>
      </c>
    </row>
    <row r="278">
      <c r="A278" t="inlineStr">
        <is>
          <t xml:space="preserve">     intermediate est 27.6 sets 11.2 RIR {1: 15, 2: 5} methods 40% (2/5) lead {'z_press': 1, 'barbell_overhead_press': 1, 'half_kneeling_landmine_press': 1}</t>
        </is>
      </c>
    </row>
    <row r="279">
      <c r="A279" t="inlineStr">
        <is>
          <t xml:space="preserve">     advanced     est 28.5 sets 12.4 RIR {1: 15, 2: 5} methods 40% (2/5) lead {'z_press': 2, 'barbell_overhead_press': 2, 'front_squat': 1}</t>
        </is>
      </c>
    </row>
    <row r="280">
      <c r="A280" t="inlineStr">
        <is>
          <t xml:space="preserve">     duplicate exercise in a session: 0; state satisfaction in Core: {'low_energy': '98% (59/60)', 'stressed': '100% (60/60)', 'bored': '100% (60/60)', 'irritated': '100% (45/45)', 'amped': '98% (59/60)'}</t>
        </is>
      </c>
    </row>
    <row r="281">
      <c r="A281" t="inlineStr"/>
    </row>
    <row r="282">
      <c r="A282">
        <f>= BEGINNER SET METHODS AND INTENSITY</f>
        <v/>
      </c>
    </row>
    <row r="283">
      <c r="A283" t="inlineStr">
        <is>
          <t xml:space="preserve">  beginner sessions 1290: methods {'slow_eccentric': 138}; RIR-0 rows 0; sessions with a high-fatigue method 0</t>
        </is>
      </c>
    </row>
    <row r="284">
      <c r="A284" t="inlineStr">
        <is>
          <t xml:space="preserve">  method attachments: [(('slow_eccentric', 'leg_extension'), 41), (('slow_eccentric', 'lat_pulldown'), 28), (('slow_eccentric', 'pec_deck'), 18), (('slow_eccentric', 'chest_supported_row_machine'), 8), (('slow_eccentric', 'standing_single_leg_curl'), 8), (('slow_eccentric', 'cable_fly'), 7), (('slow_eccentric', 'frog_pump'), 6), (('slow_eccentric', 'low_to_high_cable_fly'), 6), (('slow_eccentric', 'assisted_pull_up_machine'), 4), (('slow_eccentric', 'neutral_grip_lat_pulldown'), 4), (('slow_eccentric', 'spider_curl'), 4), (('slow_eccentric', 'incline_db_curl'), 1), (('slow_eccentric', 'machine_triceps_extension'), 1), (('slow_eccentric', 'cable_front_raise'), 1), (('slow_eccentric', 'cross_body_cable_triceps_extension'), 1)]</t>
        </is>
      </c>
    </row>
    <row r="285">
      <c r="A285" t="inlineStr">
        <is>
          <t xml:space="preserve">  beginner finishers: {'carry':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2026-09-26T21:23:12Z</dcterms:created>
  <dcterms:modified xmlns:dcterms="http://purl.org/dc/terms/" xmlns:xsi="http://www.w3.org/2001/XMLSchema-instance" xsi:type="dcterms:W3CDTF">2026-09-26T21:23:12Z</dcterms:modified>
</cp:coreProperties>
</file>