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Workouts" sheetId="2" state="visible" r:id="rId4"/>
    <sheet name="Review" sheetId="3" state="visible" r:id="rId5"/>
    <sheet name="Flag Tally" sheetId="4" state="visible" r:id="rId6"/>
    <sheet name="Patterns" sheetId="5" state="visible" r:id="rId7"/>
  </sheets>
  <definedNames>
    <definedName function="false" hidden="true" localSheetId="2" name="_xlnm._FilterDatabase" vbProcedure="false">Review!$A$1:$R$29</definedName>
    <definedName function="false" hidden="false" localSheetId="1" name="_xlnm.Print_Titles" vbProcedure="false">Workouts!$1:$1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<sst xmlns="http://schemas.openxmlformats.org/spreadsheetml/2006/main" count="1345" uniqueCount="424">
  <si>
    <t xml:space="preserve">MOOD V3 Sweat · Founder Pressure-Test Pack (28 workouts)</t>
  </si>
  <si>
    <t xml:space="preserve">Every workout is the unedited output of the Sweat reference generator v3 (founder revision of the v2 freeze). Qualitative human review only; this is not a QA pass.</t>
  </si>
  <si>
    <t xml:space="preserve">How to use</t>
  </si>
  <si>
    <t xml:space="preserve">1. Review each workout on the "Workouts" tab (one row per exercise; IDs on the Review tab link straight to each workout).</t>
  </si>
  <si>
    <t xml:space="preserve">2. Record your judgment on the "Review" tab: the four yellow flag columns have dropdowns; add notes in the yellow Notes column.</t>
  </si>
  <si>
    <t xml:space="preserve">3. The "Flag Tally" tab counts your flags automatically.</t>
  </si>
  <si>
    <t xml:space="preserve">4. "Patterns" lists what changed in this revision and the recurring patterns observed across all 28 outputs.</t>
  </si>
  <si>
    <t xml:space="preserve">Column notes</t>
  </si>
  <si>
    <t xml:space="preserve">Density = SC3 active-work share of the primary block (Sweat threshold 0.60).</t>
  </si>
  <si>
    <t xml:space="preserve">Violations = objective checks from the validator. All 28 workouts: none.</t>
  </si>
  <si>
    <t xml:space="preserve">Inputs are the exact generator inputs (states, target, preset = equipment, force_archetype when a specific archetype was requested).</t>
  </si>
  <si>
    <t xml:space="preserve">ID</t>
  </si>
  <si>
    <t xml:space="preserve">Workout</t>
  </si>
  <si>
    <t xml:space="preserve">Part</t>
  </si>
  <si>
    <t xml:space="preserve">How to do it</t>
  </si>
  <si>
    <t xml:space="preserve">Order</t>
  </si>
  <si>
    <t xml:space="preserve">Exercise</t>
  </si>
  <si>
    <t xml:space="preserve">Dose</t>
  </si>
  <si>
    <t xml:space="preserve">Intensity / cue</t>
  </si>
  <si>
    <t xml:space="preserve">Time</t>
  </si>
  <si>
    <t xml:space="preserve">E1</t>
  </si>
  <si>
    <t xml:space="preserve">Engine · 60 min
60 min Normal, steady (last Engine session was intervals)</t>
  </si>
  <si>
    <t xml:space="preserve">Warm-up</t>
  </si>
  <si>
    <t xml:space="preserve">Easy machine + movement prep</t>
  </si>
  <si>
    <t xml:space="preserve">7 min</t>
  </si>
  <si>
    <t xml:space="preserve">Main</t>
  </si>
  <si>
    <t xml:space="preserve">Continuous · 22:00 · one steady rhythm · RPE 5-6
One nonstop effort for 22:00 at the same steady pace. No breaks.</t>
  </si>
  <si>
    <t xml:space="preserve">Whole block</t>
  </si>
  <si>
    <t xml:space="preserve">Incline Treadmill Walk</t>
  </si>
  <si>
    <t xml:space="preserve">RPE 5-6, full sentences</t>
  </si>
  <si>
    <t xml:space="preserve">22 min</t>
  </si>
  <si>
    <t xml:space="preserve">Add-on</t>
  </si>
  <si>
    <t xml:space="preserve">Intervals · 9 × 0:40 work / 0:20 easy · RPE 7-8
9 efforts on one machine. Go 0:40 hard, then 0:20 easy (keep moving). Repeat until all 9 are done.</t>
  </si>
  <si>
    <t xml:space="preserve">SkiErg</t>
  </si>
  <si>
    <t xml:space="preserve">RPE 7-8, a few words</t>
  </si>
  <si>
    <t xml:space="preserve">9 min</t>
  </si>
  <si>
    <t xml:space="preserve">Cool-down</t>
  </si>
  <si>
    <t xml:space="preserve">Easy walk / spin + breathing</t>
  </si>
  <si>
    <t xml:space="preserve">5 min</t>
  </si>
  <si>
    <t xml:space="preserve">E2</t>
  </si>
  <si>
    <t xml:space="preserve">Engine · 60 min
60 min Normal, interval (last Engine session was steady)</t>
  </si>
  <si>
    <t xml:space="preserve">Intervals · 5 × 4:00 work / 1:00 easy · RPE 7-8
5 efforts on one machine. Go 4:00 hard, then 1:00 easy (keep moving). Repeat until all 5 are done.</t>
  </si>
  <si>
    <t xml:space="preserve">Row Erg</t>
  </si>
  <si>
    <t xml:space="preserve">24 min</t>
  </si>
  <si>
    <t xml:space="preserve">E3</t>
  </si>
  <si>
    <t xml:space="preserve">Engine · 30 min
30 min Beginner</t>
  </si>
  <si>
    <t xml:space="preserve">4 min</t>
  </si>
  <si>
    <t xml:space="preserve">Intervals · 8 × 1:00 work / 1:00 easy · RPE 7
8 efforts on one machine. Go 1:00 hard, then 1:00 easy (keep moving). Repeat until all 8 are done.</t>
  </si>
  <si>
    <t xml:space="preserve">Assault Bike</t>
  </si>
  <si>
    <t xml:space="preserve">RPE 7, short phrases</t>
  </si>
  <si>
    <t xml:space="preserve">15 min</t>
  </si>
  <si>
    <t xml:space="preserve">3 min</t>
  </si>
  <si>
    <t xml:space="preserve">E4</t>
  </si>
  <si>
    <t xml:space="preserve">Engine · 60 min
60 min Stressed</t>
  </si>
  <si>
    <t xml:space="preserve">Circuit · 3 rounds · 0:45 rest between rounds · RPE 6-7
3 rounds. Do stations 1 to 3 in order, back to back with no rest. After station 3, rest 0:45, then start the next round.</t>
  </si>
  <si>
    <t xml:space="preserve">Station 1</t>
  </si>
  <si>
    <t xml:space="preserve">Dumbbell Squat-to-Press</t>
  </si>
  <si>
    <t xml:space="preserve">15</t>
  </si>
  <si>
    <t xml:space="preserve">light-moderate load, unbroken, short of failure</t>
  </si>
  <si>
    <t xml:space="preserve">Station 2</t>
  </si>
  <si>
    <t xml:space="preserve">TRX Row</t>
  </si>
  <si>
    <t xml:space="preserve">steady, clean reps</t>
  </si>
  <si>
    <t xml:space="preserve">Station 3</t>
  </si>
  <si>
    <t xml:space="preserve">Suitcase Carry</t>
  </si>
  <si>
    <t xml:space="preserve">30 m</t>
  </si>
  <si>
    <t xml:space="preserve">heavy, steady</t>
  </si>
  <si>
    <t xml:space="preserve">E5</t>
  </si>
  <si>
    <t xml:space="preserve">Engine · 30 min
30 min Bored</t>
  </si>
  <si>
    <t xml:space="preserve">Pyramid · 1:00 - 2:00 - 3:00 - 2:00 - 1:00 · 0:45 easy between · RPE 7-8
One machine. Work each step in order (1:00 - 2:00 - 3:00 - 2:00 - 1:00), with 0:45 easy between steps.</t>
  </si>
  <si>
    <t xml:space="preserve">12 min</t>
  </si>
  <si>
    <t xml:space="preserve">Intervals · 6 × 0:40 work / 0:20 easy · RPE 7-8
6 efforts on one machine. Go 0:40 hard, then 0:20 easy (keep moving). Repeat until all 6 are done.</t>
  </si>
  <si>
    <t xml:space="preserve">Jump Rope</t>
  </si>
  <si>
    <t xml:space="preserve">6 min</t>
  </si>
  <si>
    <t xml:space="preserve">C1</t>
  </si>
  <si>
    <t xml:space="preserve">Circuit · 60 min
Normal, 60</t>
  </si>
  <si>
    <t xml:space="preserve">Timed stations 40s on / 20s move · 5 rounds · 0:30 between rounds · RPE 7-8
5 rounds. Work 40s at station 1, then use 20s to move to station 2, and so on through station 4. Rest 0:30 after the last station, then start the next round.</t>
  </si>
  <si>
    <t xml:space="preserve">Wall Ball</t>
  </si>
  <si>
    <t xml:space="preserve">40s</t>
  </si>
  <si>
    <t xml:space="preserve">RPE 8</t>
  </si>
  <si>
    <t xml:space="preserve">Kettlebell Snatch</t>
  </si>
  <si>
    <t xml:space="preserve">moderate, crisp hips (RPE &lt;= 8)</t>
  </si>
  <si>
    <t xml:space="preserve">Push-Up</t>
  </si>
  <si>
    <t xml:space="preserve">Station 4</t>
  </si>
  <si>
    <t xml:space="preserve">Dumbbell Lateral-Raise Jacks</t>
  </si>
  <si>
    <t xml:space="preserve">RPE 8, quick and clean</t>
  </si>
  <si>
    <t xml:space="preserve">EMOM · 10 min (2 stations × 5) · RPE 6-7
Start a running clock for 10 min. At the start of each minute, do ONE station, then rest for whatever is left of that minute. Cycle through the 2 stations in order (5 times each). Check the Order column for which minutes.</t>
  </si>
  <si>
    <t xml:space="preserve">Min 1, 3, 5, 7, 9</t>
  </si>
  <si>
    <t xml:space="preserve">Sled Push</t>
  </si>
  <si>
    <t xml:space="preserve">20 m</t>
  </si>
  <si>
    <t xml:space="preserve">heavy, steady (about 30s of work)</t>
  </si>
  <si>
    <t xml:space="preserve">10 min</t>
  </si>
  <si>
    <t xml:space="preserve">Min 2, 4, 6, 8, 10</t>
  </si>
  <si>
    <t xml:space="preserve">Kettlebell Swing</t>
  </si>
  <si>
    <t xml:space="preserve">moderate, crisp hips (RPE &lt;= 8) (about 37s of work)</t>
  </si>
  <si>
    <t xml:space="preserve">C2</t>
  </si>
  <si>
    <t xml:space="preserve">Circuit · 60 min
Low Energy, 60</t>
  </si>
  <si>
    <t xml:space="preserve">Timed stations 30s on / 15s move · 6 rounds · 0:30 between rounds · RPE 7-8
6 rounds. Work 30s at station 1, then use 15s to move to station 2, and so on through station 4. Rest 0:30 after the last station, then start the next round.</t>
  </si>
  <si>
    <t xml:space="preserve">Stationary Bike</t>
  </si>
  <si>
    <t xml:space="preserve">30s</t>
  </si>
  <si>
    <t xml:space="preserve">20 min</t>
  </si>
  <si>
    <t xml:space="preserve">Glute Bridge</t>
  </si>
  <si>
    <t xml:space="preserve">Chest-Supported Dumbbell Row</t>
  </si>
  <si>
    <t xml:space="preserve">Continuous · 9:00 · one steady rhythm · RPE 5-6
One nonstop effort for 9:00 at the same steady pace. No breaks.</t>
  </si>
  <si>
    <t xml:space="preserve">C3</t>
  </si>
  <si>
    <t xml:space="preserve">Circuit · 60 min
Stressed, 60</t>
  </si>
  <si>
    <t xml:space="preserve">Circuit · 6 rounds · 0:45 rest between rounds · RPE 7-8
6 rounds. Do stations 1 to 4 in order, back to back with no rest. After station 4, rest 0:45, then start the next round.</t>
  </si>
  <si>
    <t xml:space="preserve">Burpee</t>
  </si>
  <si>
    <t xml:space="preserve">8</t>
  </si>
  <si>
    <t xml:space="preserve">12</t>
  </si>
  <si>
    <t xml:space="preserve">Jumping Jacks</t>
  </si>
  <si>
    <t xml:space="preserve">0:40</t>
  </si>
  <si>
    <t xml:space="preserve">Goblet Squat</t>
  </si>
  <si>
    <t xml:space="preserve">Incline Dumbbell Press</t>
  </si>
  <si>
    <t xml:space="preserve">Front Plank</t>
  </si>
  <si>
    <t xml:space="preserve">C4</t>
  </si>
  <si>
    <t xml:space="preserve">Circuit · 60 min
Amped, 60</t>
  </si>
  <si>
    <t xml:space="preserve">Timed stations 40s on / 20s move · 6 rounds · 0:30 between rounds · RPE 8-9
6 rounds. Work 40s at station 1, then use 20s to move to station 2, and so on through station 4. Rest 0:30 after the last station, then start the next round.</t>
  </si>
  <si>
    <t xml:space="preserve">Jump Squat</t>
  </si>
  <si>
    <t xml:space="preserve">26 min</t>
  </si>
  <si>
    <t xml:space="preserve">Dumbbell Snatch</t>
  </si>
  <si>
    <t xml:space="preserve">Dumbbell Push Press</t>
  </si>
  <si>
    <t xml:space="preserve">Med-Ball Slam</t>
  </si>
  <si>
    <t xml:space="preserve">RPE 9</t>
  </si>
  <si>
    <t xml:space="preserve">EMOM · 10 min (2 stations × 5) · RPE 7-8
Start a running clock for 10 min. At the start of each minute, do ONE station, then rest for whatever is left of that minute. Cycle through the 2 stations in order (5 times each). Check the Order column for which minutes.</t>
  </si>
  <si>
    <t xml:space="preserve">Skater Hops</t>
  </si>
  <si>
    <t xml:space="preserve">10/side</t>
  </si>
  <si>
    <t xml:space="preserve">RPE 8, quick and clean (about 30s of work)</t>
  </si>
  <si>
    <t xml:space="preserve">13</t>
  </si>
  <si>
    <t xml:space="preserve">light-moderate load, unbroken, short of failure (about 39s of work)</t>
  </si>
  <si>
    <t xml:space="preserve">Finisher</t>
  </si>
  <si>
    <t xml:space="preserve">Finisher · 6 × 20s all-out / 30s easy · RPE 9
6 bouts. 20s all-out, then 30s easy. Alternate between the two exercises each bout.</t>
  </si>
  <si>
    <t xml:space="preserve">Odd bouts</t>
  </si>
  <si>
    <t xml:space="preserve">20s</t>
  </si>
  <si>
    <t xml:space="preserve">all-out</t>
  </si>
  <si>
    <t xml:space="preserve">Even bouts</t>
  </si>
  <si>
    <t xml:space="preserve">Battle Rope Waves</t>
  </si>
  <si>
    <t xml:space="preserve">C5</t>
  </si>
  <si>
    <t xml:space="preserve">Circuit · 60 min
Irritated, 60</t>
  </si>
  <si>
    <t xml:space="preserve">Circuit · 6 rounds · 0:45 rest between rounds · RPE 8-9
6 rounds. Do stations 1 to 4 in order, back to back with no rest. After station 4, rest 0:45, then start the next round.</t>
  </si>
  <si>
    <t xml:space="preserve">Box Jump</t>
  </si>
  <si>
    <t xml:space="preserve">10</t>
  </si>
  <si>
    <t xml:space="preserve">16</t>
  </si>
  <si>
    <t xml:space="preserve">RPE 8, quick and clean (about 40s of work)</t>
  </si>
  <si>
    <t xml:space="preserve">steady, clean reps (about 37s of work)</t>
  </si>
  <si>
    <t xml:space="preserve">C6</t>
  </si>
  <si>
    <t xml:space="preserve">Circuit · 60 min
Explicit upper-body Target (chest, back, shoulders), 60</t>
  </si>
  <si>
    <t xml:space="preserve">Bent-Over Dumbbell Row (Two-Arm)</t>
  </si>
  <si>
    <t xml:space="preserve">Intervals · 10 × 0:40 work / 0:20 easy · RPE 7-8
10 efforts on one machine. Go 0:40 hard, then 0:20 easy (keep moving). Repeat until all 10 are done.</t>
  </si>
  <si>
    <t xml:space="preserve">C7</t>
  </si>
  <si>
    <t xml:space="preserve">Circuit · 60 min
Explicit lower-body Target (quads, hamstrings, glutes), 60</t>
  </si>
  <si>
    <t xml:space="preserve">Circuit · 5 rounds · 0:45 rest between rounds · RPE 7-8
5 rounds. Do stations 1 to 4 in order, back to back with no rest. After station 4, rest 0:45, then start the next round.</t>
  </si>
  <si>
    <t xml:space="preserve">21 min</t>
  </si>
  <si>
    <t xml:space="preserve">Reverse Lunge</t>
  </si>
  <si>
    <t xml:space="preserve">Kettlebell Deadlift</t>
  </si>
  <si>
    <t xml:space="preserve">Front-Rack Carry</t>
  </si>
  <si>
    <t xml:space="preserve">40 m</t>
  </si>
  <si>
    <t xml:space="preserve">moderate-heavy, stay tall</t>
  </si>
  <si>
    <t xml:space="preserve">C8</t>
  </si>
  <si>
    <t xml:space="preserve">Circuit · 60 min
Equipment-limited (dumbbells, kettlebell, bench, box, rope, balls, bar), 60</t>
  </si>
  <si>
    <t xml:space="preserve">EMOM · 20 min (4 stations × 5) · RPE 7-8
Start a running clock for 20 min. At the start of each minute, do ONE station, then rest for whatever is left of that minute. Cycle through the 4 stations in order (5 times each). Check the Order column for which minutes.</t>
  </si>
  <si>
    <t xml:space="preserve">Min 1, 5, 9, 13, 17</t>
  </si>
  <si>
    <t xml:space="preserve">RPE 8 (about 39s of work)</t>
  </si>
  <si>
    <t xml:space="preserve">Min 2, 6, 10, 14, 18</t>
  </si>
  <si>
    <t xml:space="preserve">Devil Press</t>
  </si>
  <si>
    <t xml:space="preserve">light-moderate load, unbroken, short of failure (about 40s of work)</t>
  </si>
  <si>
    <t xml:space="preserve">Min 3, 7, 11, 15, 19</t>
  </si>
  <si>
    <t xml:space="preserve">Min 4, 8, 12, 16, 20</t>
  </si>
  <si>
    <t xml:space="preserve">RPE 7, quick and clean (about 40s of work)</t>
  </si>
  <si>
    <t xml:space="preserve">light-moderate load, unbroken, short of failure (about 37s of work)</t>
  </si>
  <si>
    <t xml:space="preserve">H1</t>
  </si>
  <si>
    <t xml:space="preserve">Hybrid · 60 min
Normal commercial gym (no sled declared), 60</t>
  </si>
  <si>
    <t xml:space="preserve">5 rounds · 0:45 walk between · RPE 7
5 rounds. Each round, do Treadmill Run first, then go straight into that round's station (it changes every round). Walk 0:45 easy, then start the next round.</t>
  </si>
  <si>
    <t xml:space="preserve">1st, every round</t>
  </si>
  <si>
    <t xml:space="preserve">Treadmill Run</t>
  </si>
  <si>
    <t xml:space="preserve">500 m</t>
  </si>
  <si>
    <t xml:space="preserve">race pace, RPE 7</t>
  </si>
  <si>
    <t xml:space="preserve">23 min</t>
  </si>
  <si>
    <t xml:space="preserve">2nd, round 1 only</t>
  </si>
  <si>
    <t xml:space="preserve">RPE 7, quick and clean</t>
  </si>
  <si>
    <t xml:space="preserve">2nd, round 2 only</t>
  </si>
  <si>
    <t xml:space="preserve">Overhead Carry</t>
  </si>
  <si>
    <t xml:space="preserve">moderate load, arms locked out</t>
  </si>
  <si>
    <t xml:space="preserve">2nd, round 3 only</t>
  </si>
  <si>
    <t xml:space="preserve">20</t>
  </si>
  <si>
    <t xml:space="preserve">RPE 7</t>
  </si>
  <si>
    <t xml:space="preserve">2nd, round 4 only</t>
  </si>
  <si>
    <t xml:space="preserve">2nd, round 5 only</t>
  </si>
  <si>
    <t xml:space="preserve">Circuit · 3 rounds · 0:30 rest between rounds · RPE 6-7
3 rounds. Do stations 1 to 3 in order, back to back with no rest. After station 3, rest 0:30, then start the next round.</t>
  </si>
  <si>
    <t xml:space="preserve">Diamond Push-Up</t>
  </si>
  <si>
    <t xml:space="preserve">8 min</t>
  </si>
  <si>
    <t xml:space="preserve">Captain's Chair Knee Raise</t>
  </si>
  <si>
    <t xml:space="preserve">H2</t>
  </si>
  <si>
    <t xml:space="preserve">Hybrid · 60 min
HYROX-style (Performance goal, sled + turf default), 60</t>
  </si>
  <si>
    <t xml:space="preserve">12/side</t>
  </si>
  <si>
    <t xml:space="preserve">H3</t>
  </si>
  <si>
    <t xml:space="preserve">Hybrid · 60 min
No sled, 60 (same user one Hybrid later)</t>
  </si>
  <si>
    <t xml:space="preserve">5 rounds · 0:45 walk between · RPE 7
5 rounds. Each round, do Row Erg first, then go straight into that round's station (it changes every round). Walk 0:45 easy, then start the next round.</t>
  </si>
  <si>
    <t xml:space="preserve">600 m</t>
  </si>
  <si>
    <t xml:space="preserve">Landmine Squat-to-Press</t>
  </si>
  <si>
    <t xml:space="preserve">Lateral Step-Up</t>
  </si>
  <si>
    <t xml:space="preserve">Kickstand Dumbbell RDL</t>
  </si>
  <si>
    <t xml:space="preserve">Air Squat</t>
  </si>
  <si>
    <t xml:space="preserve">Plate Push</t>
  </si>
  <si>
    <t xml:space="preserve">moderate plate, fast feet</t>
  </si>
  <si>
    <t xml:space="preserve">Single-Arm Dumbbell Row</t>
  </si>
  <si>
    <t xml:space="preserve">H4</t>
  </si>
  <si>
    <t xml:space="preserve">Hybrid · 60 min
Amped, 60</t>
  </si>
  <si>
    <t xml:space="preserve">6 rounds · 0:45 walk between · RPE 8
6 rounds. Each round, do Row Erg first, then go straight into that round's station (it changes every round). Walk 0:45 easy, then start the next round.</t>
  </si>
  <si>
    <t xml:space="preserve">700 m</t>
  </si>
  <si>
    <t xml:space="preserve">race pace, RPE 8</t>
  </si>
  <si>
    <t xml:space="preserve">2nd, round 6 only</t>
  </si>
  <si>
    <t xml:space="preserve">Circuit · 3 rounds · 0:30 rest between rounds · RPE 7-8
3 rounds. Do stations 1 to 3 in order, back to back with no rest. After station 3, rest 0:30, then start the next round.</t>
  </si>
  <si>
    <t xml:space="preserve">Dead Bug</t>
  </si>
  <si>
    <t xml:space="preserve">H5</t>
  </si>
  <si>
    <t xml:space="preserve">Hybrid · 60 min
Irritated, 60</t>
  </si>
  <si>
    <t xml:space="preserve">5 rounds · 0:45 walk between · RPE 8
5 rounds. Each round, do Row Erg first, then go straight into that round's station (it changes every round). Walk 0:45 easy, then start the next round.</t>
  </si>
  <si>
    <t xml:space="preserve">H6</t>
  </si>
  <si>
    <t xml:space="preserve">Hybrid · 30 min
30 min</t>
  </si>
  <si>
    <t xml:space="preserve">4 rounds · 0:45 walk between · RPE 7
4 rounds. Each round, do Treadmill Run first, then the 2 stations below in order, no rest between. Walk 0:45 easy, then start the next round.</t>
  </si>
  <si>
    <t xml:space="preserve">400 m</t>
  </si>
  <si>
    <t xml:space="preserve">18 min</t>
  </si>
  <si>
    <t xml:space="preserve">2nd, every round</t>
  </si>
  <si>
    <t xml:space="preserve">3rd, every round</t>
  </si>
  <si>
    <t xml:space="preserve">X1</t>
  </si>
  <si>
    <t xml:space="preserve">Circuit · 60 min
Substantial soreness (quads, hamstrings, glutes, back), MOOD's Pick, 60</t>
  </si>
  <si>
    <t xml:space="preserve">heavy, steady (about 40s of work)</t>
  </si>
  <si>
    <t xml:space="preserve">14</t>
  </si>
  <si>
    <t xml:space="preserve">steady, clean reps (about 39s of work)</t>
  </si>
  <si>
    <t xml:space="preserve">RPE 8 (about 40s of work)</t>
  </si>
  <si>
    <t xml:space="preserve">X2</t>
  </si>
  <si>
    <t xml:space="preserve">Circuit · 60 min
Multi-State: Low Energy + Irritated + Bored, 60</t>
  </si>
  <si>
    <t xml:space="preserve">Timed stations 30s on / 15s move · 6 rounds · 0:30 between rounds · RPE 8-9
6 rounds. Work 30s at station 1, then use 15s to move to station 2, and so on through station 4. Rest 0:30 after the last station, then start the next round.</t>
  </si>
  <si>
    <t xml:space="preserve">Dumbbell Floor Press</t>
  </si>
  <si>
    <t xml:space="preserve">Continuous · 9:00 · one steady rhythm · RPE 6-7
One nonstop effort for 9:00 at the same steady pace. No breaks.</t>
  </si>
  <si>
    <t xml:space="preserve">RPE 6-7, short phrases</t>
  </si>
  <si>
    <t xml:space="preserve">X3</t>
  </si>
  <si>
    <t xml:space="preserve">Circuit · 30 min
Narrow muscle Target: calves only, 30</t>
  </si>
  <si>
    <t xml:space="preserve">Circuit · 4 rounds · 0:45 rest between rounds · RPE 7-8
4 rounds. Do stations 1 to 4 in order, back to back with no rest. After station 4, rest 0:45, then start the next round.</t>
  </si>
  <si>
    <t xml:space="preserve">1:00</t>
  </si>
  <si>
    <t xml:space="preserve">RPE 8, strong and controlled</t>
  </si>
  <si>
    <t xml:space="preserve">Dumbbell Romanian Deadlift</t>
  </si>
  <si>
    <t xml:space="preserve">X4</t>
  </si>
  <si>
    <t xml:space="preserve">Circuit · 30 min
Beginner + limited equipment (DB, bench, jump rope, bodyweight), 30</t>
  </si>
  <si>
    <t xml:space="preserve">6</t>
  </si>
  <si>
    <t xml:space="preserve">13 min</t>
  </si>
  <si>
    <t xml:space="preserve">8/side</t>
  </si>
  <si>
    <t xml:space="preserve">Intervals · 6 × 0:30 work / 0:30 easy · RPE 7-8
6 efforts on one machine. Go 0:30 hard, then 0:30 easy (keep moving). Repeat until all 6 are done.</t>
  </si>
  <si>
    <t xml:space="preserve">X5</t>
  </si>
  <si>
    <t xml:space="preserve">Circuit · 60 min
History-heavy user (6 prior Sweat sessions), MOOD's Pick, 60</t>
  </si>
  <si>
    <t xml:space="preserve">Seated Dumbbell Shoulder Press</t>
  </si>
  <si>
    <t xml:space="preserve">A1</t>
  </si>
  <si>
    <t xml:space="preserve">Circuit · 60 min
Explicit chest + back Target, Stressed (predictable, familiar), 60</t>
  </si>
  <si>
    <t xml:space="preserve">250 m</t>
  </si>
  <si>
    <t xml:space="preserve">A2</t>
  </si>
  <si>
    <t xml:space="preserve">Circuit · 60 min
Lower-body Target (glutes, hamstrings), advanced, many resistance options, 60</t>
  </si>
  <si>
    <t xml:space="preserve">Timed stations 45s on / 15s move · 5 rounds · 0:30 between rounds · RPE 7-8
5 rounds. Work 45s at station 1, then use 15s to move to station 2, and so on through station 4. Rest 0:30 after the last station, then start the next round.</t>
  </si>
  <si>
    <t xml:space="preserve">45s</t>
  </si>
  <si>
    <t xml:space="preserve">A3</t>
  </si>
  <si>
    <t xml:space="preserve">Circuit · 60 min
Machine-rich commercial gym: Beginner + chest/back/shoulders Target (machines unlocked), 60</t>
  </si>
  <si>
    <t xml:space="preserve">Timed stations 30s on / 30s move · 5 rounds · 0:45 between rounds · RPE 7-8
5 rounds. Work 30s at station 1, then use 30s to move to station 2, and so on through station 4. Rest 0:45 after the last station, then start the next round.</t>
  </si>
  <si>
    <t xml:space="preserve">Intervals · 10 × 0:30 work / 0:30 easy · RPE 7-8
10 efforts on one machine. Go 0:30 hard, then 0:30 easy (keep moving). Repeat until all 10 are done.</t>
  </si>
  <si>
    <t xml:space="preserve">A4</t>
  </si>
  <si>
    <t xml:space="preserve">Circuit · 30 min
Engine/output-suppressing combo: Low Energy + Stressed + sore quads/calves/core, DB + bench only, 30</t>
  </si>
  <si>
    <t xml:space="preserve">Timed stations 30s on / 15s move · 8 rounds · 0:30 between rounds · RPE 7-8
8 rounds. Work 30s at station 1, then use 15s to move to station 2, and so on through station 2. Rest 0:30 after the last station, then start the next round.</t>
  </si>
  <si>
    <t xml:space="preserve">16 min</t>
  </si>
  <si>
    <t xml:space="preserve">Group</t>
  </si>
  <si>
    <t xml:space="preserve">Scenario</t>
  </si>
  <si>
    <t xml:space="preserve">Resolved archetype</t>
  </si>
  <si>
    <t xml:space="preserve">Engine mode</t>
  </si>
  <si>
    <t xml:space="preserve">Est. min</t>
  </si>
  <si>
    <t xml:space="preserve">Conditioning min</t>
  </si>
  <si>
    <t xml:space="preserve">Active-work density</t>
  </si>
  <si>
    <t xml:space="preserve">Conditioning driver</t>
  </si>
  <si>
    <t xml:space="preserve">State / Target adaptation</t>
  </si>
  <si>
    <t xml:space="preserve">History</t>
  </si>
  <si>
    <t xml:space="preserve">Inputs</t>
  </si>
  <si>
    <t xml:space="preserve">Rule violations</t>
  </si>
  <si>
    <t xml:space="preserve">SWEAT IDENTITY</t>
  </si>
  <si>
    <t xml:space="preserve">STATE EXPRESSION</t>
  </si>
  <si>
    <t xml:space="preserve">GYM PRACTICALITY</t>
  </si>
  <si>
    <t xml:space="preserve">ATHLETIC OVERLAP</t>
  </si>
  <si>
    <t xml:space="preserve">Founder notes</t>
  </si>
  <si>
    <t xml:space="preserve">Engine</t>
  </si>
  <si>
    <t xml:space="preserve">60 min Normal, steady (last Engine session was intervals)</t>
  </si>
  <si>
    <t xml:space="preserve">steady (aerobic)</t>
  </si>
  <si>
    <t xml:space="preserve">Engine modality: Incline Treadmill Walk</t>
  </si>
  <si>
    <t xml:space="preserve">No State: baseline dials. Engine mode steady / aerobic (rotate vs last engine).</t>
  </si>
  <si>
    <t xml:space="preserve">Prior: Circuit, then Engine intervals (Row Erg long-even)</t>
  </si>
  <si>
    <t xml:space="preserve">{"force_archetype": "sweat_engine", "duration": 60, "experience": "intermediate"}</t>
  </si>
  <si>
    <t xml:space="preserve">none</t>
  </si>
  <si>
    <t xml:space="preserve">60 min Normal, interval (last Engine session was steady)</t>
  </si>
  <si>
    <t xml:space="preserve">interval (long_even)</t>
  </si>
  <si>
    <t xml:space="preserve">Engine modality: Row Erg</t>
  </si>
  <si>
    <t xml:space="preserve">No State: baseline dials. Engine mode interval / long_even (rotate vs last engine).</t>
  </si>
  <si>
    <t xml:space="preserve">Prior: Circuit, then Engine steady (Stationary Bike)</t>
  </si>
  <si>
    <t xml:space="preserve">30 min Beginner</t>
  </si>
  <si>
    <t xml:space="preserve">interval (controlled)</t>
  </si>
  <si>
    <t xml:space="preserve">Engine modality: Assault Bike</t>
  </si>
  <si>
    <t xml:space="preserve">No State: baseline dials. Engine mode interval / controlled (goal default).</t>
  </si>
  <si>
    <t xml:space="preserve">{"force_archetype": "sweat_engine", "duration": 30, "experience": "beginner", "goal": "stay_consistent"}</t>
  </si>
  <si>
    <t xml:space="preserve">60 min Stressed</t>
  </si>
  <si>
    <t xml:space="preserve">States stressed: Novelty exercise -1 / structure -1; complexity cap 2; Engagement +2. Engine mode steady / aerobic (state preference).</t>
  </si>
  <si>
    <t xml:space="preserve">Prior: Circuit</t>
  </si>
  <si>
    <t xml:space="preserve">{"force_archetype": "sweat_engine", "duration": 60, "experience": "intermediate", "states": ["stressed"]}</t>
  </si>
  <si>
    <t xml:space="preserve">30 min Bored</t>
  </si>
  <si>
    <t xml:space="preserve">interval (pyramid)</t>
  </si>
  <si>
    <t xml:space="preserve">Engine modality: SkiErg</t>
  </si>
  <si>
    <t xml:space="preserve">States bored: Novelty exercise +2 / structure +2; complexity cap 3; Engagement +1. Engine mode interval / pyramid (rotate vs last engine).</t>
  </si>
  <si>
    <t xml:space="preserve">Prior: Engine intervals (Row Erg), then Engine steady (Stationary Bike)</t>
  </si>
  <si>
    <t xml:space="preserve">{"force_archetype": "sweat_engine", "duration": 30, "experience": "intermediate", "states": ["bored"]}</t>
  </si>
  <si>
    <t xml:space="preserve">Circuit</t>
  </si>
  <si>
    <t xml:space="preserve">Normal, 60</t>
  </si>
  <si>
    <t xml:space="preserve">-</t>
  </si>
  <si>
    <t xml:space="preserve">Engine / output station(s): Wall Ball, Dumbbell Lateral-Raise Jacks</t>
  </si>
  <si>
    <t xml:space="preserve">No State: baseline dials.</t>
  </si>
  <si>
    <t xml:space="preserve">{"force_archetype": "sweat_circuit", "duration": 60, "experience": "intermediate"}</t>
  </si>
  <si>
    <t xml:space="preserve">Low Energy, 60</t>
  </si>
  <si>
    <t xml:space="preserve">Engine / output station(s): Stationary Bike, Suitcase Carry</t>
  </si>
  <si>
    <t xml:space="preserve">States low_energy: Volume -1; Novelty exercise -1 / structure -1; complexity cap 2. Volume dial: -1 unit complementary_block.</t>
  </si>
  <si>
    <t xml:space="preserve">{"force_archetype": "sweat_circuit", "duration": 60, "experience": "intermediate", "states": ["low_energy"]}</t>
  </si>
  <si>
    <t xml:space="preserve">Stressed, 60</t>
  </si>
  <si>
    <t xml:space="preserve">Engine / output station(s): Burpee, Jumping Jacks</t>
  </si>
  <si>
    <t xml:space="preserve">States stressed: Novelty exercise -1 / structure -1; complexity cap 2; Engagement +2.</t>
  </si>
  <si>
    <t xml:space="preserve">{"force_archetype": "sweat_circuit", "duration": 60, "experience": "intermediate", "states": ["stressed"]}</t>
  </si>
  <si>
    <t xml:space="preserve">Amped, 60</t>
  </si>
  <si>
    <t xml:space="preserve">Engine / output station(s): Jump Squat, Med-Ball Slam</t>
  </si>
  <si>
    <t xml:space="preserve">States amped: Volume +1; Effort +1; Extras 1. Volume dial: +1 unit primary. Extras: finisher added.</t>
  </si>
  <si>
    <t xml:space="preserve">{"force_archetype": "sweat_circuit", "duration": 60, "experience": "intermediate", "states": ["amped"]}</t>
  </si>
  <si>
    <t xml:space="preserve">Irritated, 60</t>
  </si>
  <si>
    <t xml:space="preserve">Engine / output station(s): Box Jump, Med-Ball Slam</t>
  </si>
  <si>
    <t xml:space="preserve">States irritated: Effort +1; complexity cap 2; Engagement +1; Extras 1. Extras: finisher added.</t>
  </si>
  <si>
    <t xml:space="preserve">{"force_archetype": "sweat_circuit", "duration": 60, "experience": "intermediate", "states": ["irritated"]}</t>
  </si>
  <si>
    <t xml:space="preserve">Explicit upper-body Target (chest, back, shoulders), 60</t>
  </si>
  <si>
    <t xml:space="preserve">Engine / output station(s): SkiErg, Battle Rope Waves</t>
  </si>
  <si>
    <t xml:space="preserve">No State: baseline dials. Explicit Target routed to Circuit; resistance items biased to the Target region.</t>
  </si>
  <si>
    <t xml:space="preserve">{"duration": 60, "experience": "intermediate", "target": ["chest", "back", "shoulders"]}</t>
  </si>
  <si>
    <t xml:space="preserve">Explicit lower-body Target (quads, hamstrings, glutes), 60</t>
  </si>
  <si>
    <t xml:space="preserve">Engine / output station(s): Box Jump, Front-Rack Carry</t>
  </si>
  <si>
    <t xml:space="preserve">{"duration": 60, "experience": "intermediate", "target": ["quads", "hamstrings", "glutes"]}</t>
  </si>
  <si>
    <t xml:space="preserve">Equipment-limited (dumbbells, kettlebell, bench, box, rope, balls, bar), 60</t>
  </si>
  <si>
    <t xml:space="preserve">{"force_archetype": "sweat_circuit", "duration": 60, "experience": "intermediate", "preset": "free_weight_limited"}</t>
  </si>
  <si>
    <t xml:space="preserve">Hybrid</t>
  </si>
  <si>
    <t xml:space="preserve">Normal commercial gym (no sled declared), 60</t>
  </si>
  <si>
    <t xml:space="preserve">Anchor every round: Treadmill Run</t>
  </si>
  <si>
    <t xml:space="preserve">{"force_archetype": "sweat_hybrid", "duration": 60, "experience": "intermediate", "preset": "commercial_no_sled"}</t>
  </si>
  <si>
    <t xml:space="preserve">HYROX-style (Performance goal, sled + turf default), 60</t>
  </si>
  <si>
    <t xml:space="preserve">{"duration": 60, "experience": "intermediate", "goal": "build_strength"}</t>
  </si>
  <si>
    <t xml:space="preserve">No sled, 60 (same user one Hybrid later)</t>
  </si>
  <si>
    <t xml:space="preserve">Anchor every round: Row Erg</t>
  </si>
  <si>
    <t xml:space="preserve">Prior: Hybrid (treadmill + sled push / carry / wall ball / burpee), then Circuit</t>
  </si>
  <si>
    <t xml:space="preserve">{"force_archetype": "sweat_hybrid", "duration": 60, "experience": "advanced", "states": ["amped"]}</t>
  </si>
  <si>
    <t xml:space="preserve">{"force_archetype": "sweat_hybrid", "duration": 60, "experience": "intermediate", "states": ["irritated"]}</t>
  </si>
  <si>
    <t xml:space="preserve">30 min</t>
  </si>
  <si>
    <t xml:space="preserve">{"force_archetype": "sweat_hybrid", "duration": 30, "experience": "intermediate"}</t>
  </si>
  <si>
    <t xml:space="preserve">Edge</t>
  </si>
  <si>
    <t xml:space="preserve">Substantial soreness (quads, hamstrings, glutes, back), MOOD's Pick, 60</t>
  </si>
  <si>
    <t xml:space="preserve">Engine / output station(s): Suitcase Carry, Battle Rope Waves</t>
  </si>
  <si>
    <t xml:space="preserve">No State: baseline dials. Sore-primary exclusion: back, glutes, hamstrings, quads, spinal_erectors. Region balance relaxed because a region is sore.</t>
  </si>
  <si>
    <t xml:space="preserve">{"duration": 60, "experience": "intermediate", "sore": ["quads", "hamstrings", "glutes", "back"]}</t>
  </si>
  <si>
    <t xml:space="preserve">Multi-State: Low Energy + Irritated + Bored, 60</t>
  </si>
  <si>
    <t xml:space="preserve">Engine / output station(s): Med-Ball Slam, Battle Rope Waves</t>
  </si>
  <si>
    <t xml:space="preserve">States low_energy, irritated, bored: Volume -1; Effort +1; Novelty exercise +1 / structure +1; complexity cap 2; Engagement +2 (named pair irritated+low_energy). Volume dial: -1 unit complementary_block.</t>
  </si>
  <si>
    <t xml:space="preserve">{"duration": 60, "experience": "intermediate", "states": ["low_energy", "irritated", "bored"]}</t>
  </si>
  <si>
    <t xml:space="preserve">Narrow muscle Target: calves only, 30</t>
  </si>
  <si>
    <t xml:space="preserve">Engine / output station(s): Treadmill Run, Jumping Jacks</t>
  </si>
  <si>
    <t xml:space="preserve">{"duration": 30, "experience": "intermediate", "target": ["calves"]}</t>
  </si>
  <si>
    <t xml:space="preserve">Beginner + limited equipment (DB, bench, jump rope, bodyweight), 30</t>
  </si>
  <si>
    <t xml:space="preserve">Engine / output station(s): Burpee, Skater Hops</t>
  </si>
  <si>
    <t xml:space="preserve">{"duration": 30, "experience": "beginner", "preset": "db_bodyweight_only", "goal": "stay_consistent"}</t>
  </si>
  <si>
    <t xml:space="preserve">History-heavy user (6 prior Sweat sessions), MOOD's Pick, 60</t>
  </si>
  <si>
    <t xml:space="preserve">Engine / output station(s): Sled Push, Dumbbell Lateral-Raise Jacks</t>
  </si>
  <si>
    <t xml:space="preserve">circuit: wall_ball, kettlebell_swing, push_up, db_jumping_jack | engine (interval): treadmill_run, goblet_squat, landmine_press_single_arm, dead_bug | hybrid: ski_erg, sled_push, waiter_carry, burpee | circuit: air_bike, db_snatch, suspension_row, db_jumping_jack | engine (steady): row_erg, ski_erg | hybrid: treadmill_run, wall_ball, goblet_squat, front_foot_elevated_split_squat</t>
  </si>
  <si>
    <t xml:space="preserve">{"duration": 60, "experience": "intermediate"}</t>
  </si>
  <si>
    <t xml:space="preserve">Adversarial</t>
  </si>
  <si>
    <t xml:space="preserve">Explicit chest + back Target, Stressed (predictable, familiar), 60</t>
  </si>
  <si>
    <t xml:space="preserve">Engine / output station(s): SkiErg, Burpee</t>
  </si>
  <si>
    <t xml:space="preserve">States stressed: Novelty exercise -1 / structure -1; complexity cap 2; Engagement +2. Explicit Target routed to Circuit; resistance items biased to the Target region.</t>
  </si>
  <si>
    <t xml:space="preserve">{"duration": 60, "experience": "intermediate", "target": ["chest", "back"], "states": ["stressed"]}</t>
  </si>
  <si>
    <t xml:space="preserve">Lower-body Target (glutes, hamstrings), advanced, many resistance options, 60</t>
  </si>
  <si>
    <t xml:space="preserve">Engine / output station(s): Box Jump, Jumping Jacks</t>
  </si>
  <si>
    <t xml:space="preserve">{"duration": 60, "experience": "advanced", "target": ["glutes", "hamstrings"]}</t>
  </si>
  <si>
    <t xml:space="preserve">Machine-rich commercial gym: Beginner + chest/back/shoulders Target (machines unlocked), 60</t>
  </si>
  <si>
    <t xml:space="preserve">{"duration": 60, "experience": "beginner", "target": ["chest", "back", "shoulders"]}</t>
  </si>
  <si>
    <t xml:space="preserve">Engine/output-suppressing combo: Low Energy + Stressed + sore quads/calves/core, DB + bench only, 30</t>
  </si>
  <si>
    <t xml:space="preserve">Resistance-only timed rotation (SC4 fallback)</t>
  </si>
  <si>
    <t xml:space="preserve">States low_energy, stressed: Volume -1; Novelty exercise -2 / structure -2; complexity cap 1; Engagement +2. Sore-primary exclusion: calves, core, quads. State-lowered complexity cap relaxed to experience baseline for db_rdl (logged). State-lowered complexity cap relaxed to experience baseline for db_push_press (logged). No engine/output item feasible: resistance-only timed rotation (SC4). Volume dial: -1 unit primary_circuit.</t>
  </si>
  <si>
    <t xml:space="preserve">{"duration": 30, "experience": "intermediate", "states": ["low_energy", "stressed"], "sore": ["quads", "calves", "core"], "preset": "db_bench_only"}</t>
  </si>
  <si>
    <t xml:space="preserve">Flag</t>
  </si>
  <si>
    <t xml:space="preserve">Positive answer</t>
  </si>
  <si>
    <t xml:space="preserve">Count positive</t>
  </si>
  <si>
    <t xml:space="preserve">Negative answer</t>
  </si>
  <si>
    <t xml:space="preserve">Count negative</t>
  </si>
  <si>
    <t xml:space="preserve">Not yet reviewed</t>
  </si>
  <si>
    <t xml:space="preserve">clear</t>
  </si>
  <si>
    <t xml:space="preserve">questionable</t>
  </si>
  <si>
    <t xml:space="preserve">weak</t>
  </si>
  <si>
    <t xml:space="preserve">good</t>
  </si>
  <si>
    <t xml:space="preserve">possible</t>
  </si>
  <si>
    <t xml:space="preserve">Workouts in pack</t>
  </si>
  <si>
    <t xml:space="preserve">Workouts with rule violations</t>
  </si>
  <si>
    <t xml:space="preserve">Average active-work density</t>
  </si>
  <si>
    <t xml:space="preserve">Minimum active-work density</t>
  </si>
  <si>
    <t xml:space="preserve">Recurring patterns across the 28 workouts (observations, not recommendations)</t>
  </si>
  <si>
    <t xml:space="preserve">Objective result: all 28 are VALID BUILD with 0 validator violations. Primary-block active-work density ranges from 0.62 to 1.00. Sessions run 42-55 min at 60 and 23-28 min at 30.</t>
  </si>
  <si>
    <t xml:space="preserve">What changed in this revision (v3, founder feedback), and how it shows up here:</t>
  </si>
  <si>
    <t xml:space="preserve">Less rest, more cardio feel.</t>
  </si>
  <si>
    <t xml:space="preserve">   • Circuit round rest is now 45 s (intermediate), 60 s (beginner) and 30 s (advanced), down from 90 / 60.</t>
  </si>
  <si>
    <t xml:space="preserve">   • Timed stations run 40 s on / 20 s move with 30 s between rounds, down from 60.</t>
  </si>
  <si>
    <t xml:space="preserve">   • Hybrid walks are 45 s between rounds, down from 60.</t>
  </si>
  <si>
    <t xml:space="preserve">   • Engine long intervals are 4:00 / 1:00, down from 4:00 / 1:30.</t>
  </si>
  <si>
    <t xml:space="preserve">   • Finishers run 20 s / 30 s, and engine add-ons run 40 s / 20 s.</t>
  </si>
  <si>
    <t xml:space="preserve">   • Beginners keep recovery at or above work (safety rule), so their rests are longer.</t>
  </si>
  <si>
    <t xml:space="preserve">No machines or cables in any circuit. 0 of 28 workouts use a lat pulldown, cable or selectorized/plate-loaded machine. Cardio machines (rower, SkiErg, Assault Bike, treadmill) remain as conditioning stations.</t>
  </si>
  <si>
    <t xml:space="preserve">Low Energy now reads as cardio (C2, X2).</t>
  </si>
  <si>
    <t xml:space="preserve">   • Both run as timed stations, 30 s on / 15 s move, on a continuous clock, followed by a steady row.</t>
  </si>
  <si>
    <t xml:space="preserve">   • X2 is slam, kickstand RDL, DB floor press and battle ropes.</t>
  </si>
  <si>
    <t xml:space="preserve">   • C2 still includes glute bridge and chest-supported DB row, the two most lifting-like Low Energy stations left.</t>
  </si>
  <si>
    <t xml:space="preserve">Full-body movements show up widely. DB push press (6), box jump (6), devil press (4), skater hops (4), jumping jacks (4), DB lateral-raise jacks (3), KB swing (3), KB or DB snatch (4). Figures are workouts out of 28.</t>
  </si>
  <si>
    <t xml:space="preserve">Carries now vary. Overhead carry (H1, H2, H6), suitcase carry (E4, C2, X1) and front-rack carry (C7) appear. Farmer carry and single-arm overhead carry did not come up in this cold-start pack; across real sessions, recency rotates the carry family.</t>
  </si>
  <si>
    <t xml:space="preserve">Irritated vs Amped still overlap, but less. C4 (Amped) and C5 (Irritated) now share 2 of 4 primary items (DB push press, med-ball slam), down from 4 of 4. H4 and H5 share 2 of 5 stations (med-ball slam, box jump), down from 5 of 5. Both States still pull from the same forceful / explosive pool, so this remains a founder call.</t>
  </si>
  <si>
    <t xml:space="preserve">Remaining lifting-like moments. C3 (Stressed) complement: goblet squat, incline DB press, plank. A4, the deliberately suppressed edge case: DB RDL + DB push press only. X1 (sore legs and back) leans on pressing.</t>
  </si>
  <si>
    <t xml:space="preserve">Athletic territory. Box jumps, skater hops, jump squats and snatches are always dosed as repeated conditioning work (10+ reps or timed, inside rounds). No low-rep maximal-intent sets appear anywhere. H4 (Amped Hybrid) is the most athletic-leaning session in the pack.</t>
  </si>
  <si>
    <t xml:space="preserve">Cold-start staples. Push-up (10) is now the most frequent item, followed by row erg, burpee and battle ropes. With history, recency moves the selection away from these.</t>
  </si>
  <si>
    <t xml:space="preserve">No systemic safety or gym-practicality violation was found.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</si>
</sst>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404040"/>
      </patternFill>
    </fill>
    <fill>
      <patternFill patternType="solid">
        <fgColor rgb="FFFFF2CC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404040"/>
      </bottom>
      <diagonal/>
    </border>
    <border diagonalUp="false" diagonalDown="false">
      <left/>
      <right/>
      <top style="medium">
        <color rgb="FF595959"/>
      </top>
      <bottom/>
      <diagonal/>
    </border>
    <border diagonalUp="false" diagonalDown="false">
      <left/>
      <right/>
      <top style="hair">
        <color rgb="FFD9D9D9"/>
      </top>
      <bottom/>
      <diagonal/>
    </border>
    <border diagonalUp="false" diagonalDown="false">
      <left/>
      <right/>
      <top style="thin">
        <color rgb="FFA6A6A6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OOD_V3_Sweat_Founder_Pressure_Test_Pack.xlsx" TargetMode="External"/><Relationship Id="rId2" Type="http://schemas.openxmlformats.org/officeDocument/2006/relationships/hyperlink" Target="MOOD_V3_Sweat_Founder_Pressure_Test_Pack.xlsx" TargetMode="External"/><Relationship Id="rId3" Type="http://schemas.openxmlformats.org/officeDocument/2006/relationships/hyperlink" Target="MOOD_V3_Sweat_Founder_Pressure_Test_Pack.xlsx" TargetMode="External"/><Relationship Id="rId4" Type="http://schemas.openxmlformats.org/officeDocument/2006/relationships/hyperlink" Target="MOOD_V3_Sweat_Founder_Pressure_Test_Pack.xlsx" TargetMode="External"/><Relationship Id="rId5" Type="http://schemas.openxmlformats.org/officeDocument/2006/relationships/hyperlink" Target="MOOD_V3_Sweat_Founder_Pressure_Test_Pack.xlsx" TargetMode="External"/><Relationship Id="rId6" Type="http://schemas.openxmlformats.org/officeDocument/2006/relationships/hyperlink" Target="MOOD_V3_Sweat_Founder_Pressure_Test_Pack.xlsx" TargetMode="External"/><Relationship Id="rId7" Type="http://schemas.openxmlformats.org/officeDocument/2006/relationships/hyperlink" Target="MOOD_V3_Sweat_Founder_Pressure_Test_Pack.xlsx" TargetMode="External"/><Relationship Id="rId8" Type="http://schemas.openxmlformats.org/officeDocument/2006/relationships/hyperlink" Target="MOOD_V3_Sweat_Founder_Pressure_Test_Pack.xlsx" TargetMode="External"/><Relationship Id="rId9" Type="http://schemas.openxmlformats.org/officeDocument/2006/relationships/hyperlink" Target="MOOD_V3_Sweat_Founder_Pressure_Test_Pack.xlsx" TargetMode="External"/><Relationship Id="rId10" Type="http://schemas.openxmlformats.org/officeDocument/2006/relationships/hyperlink" Target="MOOD_V3_Sweat_Founder_Pressure_Test_Pack.xlsx" TargetMode="External"/><Relationship Id="rId11" Type="http://schemas.openxmlformats.org/officeDocument/2006/relationships/hyperlink" Target="MOOD_V3_Sweat_Founder_Pressure_Test_Pack.xlsx" TargetMode="External"/><Relationship Id="rId12" Type="http://schemas.openxmlformats.org/officeDocument/2006/relationships/hyperlink" Target="MOOD_V3_Sweat_Founder_Pressure_Test_Pack.xlsx" TargetMode="External"/><Relationship Id="rId13" Type="http://schemas.openxmlformats.org/officeDocument/2006/relationships/hyperlink" Target="MOOD_V3_Sweat_Founder_Pressure_Test_Pack.xlsx" TargetMode="External"/><Relationship Id="rId14" Type="http://schemas.openxmlformats.org/officeDocument/2006/relationships/hyperlink" Target="MOOD_V3_Sweat_Founder_Pressure_Test_Pack.xlsx" TargetMode="External"/><Relationship Id="rId15" Type="http://schemas.openxmlformats.org/officeDocument/2006/relationships/hyperlink" Target="MOOD_V3_Sweat_Founder_Pressure_Test_Pack.xlsx" TargetMode="External"/><Relationship Id="rId16" Type="http://schemas.openxmlformats.org/officeDocument/2006/relationships/hyperlink" Target="MOOD_V3_Sweat_Founder_Pressure_Test_Pack.xlsx" TargetMode="External"/><Relationship Id="rId17" Type="http://schemas.openxmlformats.org/officeDocument/2006/relationships/hyperlink" Target="MOOD_V3_Sweat_Founder_Pressure_Test_Pack.xlsx" TargetMode="External"/><Relationship Id="rId18" Type="http://schemas.openxmlformats.org/officeDocument/2006/relationships/hyperlink" Target="MOOD_V3_Sweat_Founder_Pressure_Test_Pack.xlsx" TargetMode="External"/><Relationship Id="rId19" Type="http://schemas.openxmlformats.org/officeDocument/2006/relationships/hyperlink" Target="MOOD_V3_Sweat_Founder_Pressure_Test_Pack.xlsx" TargetMode="External"/><Relationship Id="rId20" Type="http://schemas.openxmlformats.org/officeDocument/2006/relationships/hyperlink" Target="MOOD_V3_Sweat_Founder_Pressure_Test_Pack.xlsx" TargetMode="External"/><Relationship Id="rId21" Type="http://schemas.openxmlformats.org/officeDocument/2006/relationships/hyperlink" Target="MOOD_V3_Sweat_Founder_Pressure_Test_Pack.xlsx" TargetMode="External"/><Relationship Id="rId22" Type="http://schemas.openxmlformats.org/officeDocument/2006/relationships/hyperlink" Target="MOOD_V3_Sweat_Founder_Pressure_Test_Pack.xlsx" TargetMode="External"/><Relationship Id="rId23" Type="http://schemas.openxmlformats.org/officeDocument/2006/relationships/hyperlink" Target="MOOD_V3_Sweat_Founder_Pressure_Test_Pack.xlsx" TargetMode="External"/><Relationship Id="rId24" Type="http://schemas.openxmlformats.org/officeDocument/2006/relationships/hyperlink" Target="MOOD_V3_Sweat_Founder_Pressure_Test_Pack.xlsx" TargetMode="External"/><Relationship Id="rId25" Type="http://schemas.openxmlformats.org/officeDocument/2006/relationships/hyperlink" Target="MOOD_V3_Sweat_Founder_Pressure_Test_Pack.xlsx" TargetMode="External"/><Relationship Id="rId26" Type="http://schemas.openxmlformats.org/officeDocument/2006/relationships/hyperlink" Target="MOOD_V3_Sweat_Founder_Pressure_Test_Pack.xlsx" TargetMode="External"/><Relationship Id="rId27" Type="http://schemas.openxmlformats.org/officeDocument/2006/relationships/hyperlink" Target="MOOD_V3_Sweat_Founder_Pressure_Test_Pack.xlsx" TargetMode="External"/><Relationship Id="rId28" Type="http://schemas.openxmlformats.org/officeDocument/2006/relationships/hyperlink" Target="MOOD_V3_Sweat_Founder_Pressure_Test_Pack.xlsx" TargetMode="External"/><Relationship Id="rId2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40"/>
    <col collapsed="false" customWidth="true" hidden="false" outlineLevel="0" max="9" min="9" style="0" width="8"/>
  </cols>
  <sheetData>
    <row r="1" customFormat="false" ht="19.5" hidden="false" customHeight="tru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</row>
    <row r="2" customFormat="false" ht="35.05" hidden="false" customHeight="false" outlineLevel="0" collapsed="false">
      <c r="A2" s="5" t="s">
        <v>20</v>
      </c>
      <c r="B2" s="5" t="s">
        <v>21</v>
      </c>
      <c r="C2" s="5" t="s">
        <v>22</v>
      </c>
      <c r="D2" s="6" t="s">
        <v>23</v>
      </c>
      <c r="E2" s="7"/>
      <c r="F2" s="6"/>
      <c r="G2" s="6"/>
      <c r="H2" s="6"/>
      <c r="I2" s="6" t="s">
        <v>24</v>
      </c>
    </row>
    <row r="3" customFormat="false" ht="48" hidden="false" customHeight="true" outlineLevel="0" collapsed="false">
      <c r="A3" s="8"/>
      <c r="B3" s="8"/>
      <c r="C3" s="9" t="s">
        <v>25</v>
      </c>
      <c r="D3" s="10" t="s">
        <v>26</v>
      </c>
      <c r="E3" s="11" t="s">
        <v>27</v>
      </c>
      <c r="F3" s="10" t="s">
        <v>28</v>
      </c>
      <c r="G3" s="10"/>
      <c r="H3" s="10" t="s">
        <v>29</v>
      </c>
      <c r="I3" s="10" t="s">
        <v>30</v>
      </c>
    </row>
    <row r="4" customFormat="false" ht="48" hidden="false" customHeight="true" outlineLevel="0" collapsed="false">
      <c r="A4" s="8"/>
      <c r="B4" s="8"/>
      <c r="C4" s="9" t="s">
        <v>31</v>
      </c>
      <c r="D4" s="10" t="s">
        <v>32</v>
      </c>
      <c r="E4" s="11" t="s">
        <v>27</v>
      </c>
      <c r="F4" s="10" t="s">
        <v>33</v>
      </c>
      <c r="G4" s="10"/>
      <c r="H4" s="10" t="s">
        <v>34</v>
      </c>
      <c r="I4" s="10" t="s">
        <v>35</v>
      </c>
    </row>
    <row r="5" customFormat="false" ht="15" hidden="false" customHeight="false" outlineLevel="0" collapsed="false">
      <c r="A5" s="8"/>
      <c r="B5" s="8"/>
      <c r="C5" s="9" t="s">
        <v>36</v>
      </c>
      <c r="D5" s="10" t="s">
        <v>37</v>
      </c>
      <c r="E5" s="11"/>
      <c r="F5" s="10"/>
      <c r="G5" s="10"/>
      <c r="H5" s="10"/>
      <c r="I5" s="10" t="s">
        <v>38</v>
      </c>
    </row>
    <row r="6" customFormat="false" ht="35.05" hidden="false" customHeight="false" outlineLevel="0" collapsed="false">
      <c r="A6" s="5" t="s">
        <v>39</v>
      </c>
      <c r="B6" s="5" t="s">
        <v>40</v>
      </c>
      <c r="C6" s="5" t="s">
        <v>22</v>
      </c>
      <c r="D6" s="6" t="s">
        <v>23</v>
      </c>
      <c r="E6" s="7"/>
      <c r="F6" s="6"/>
      <c r="G6" s="6"/>
      <c r="H6" s="6"/>
      <c r="I6" s="6" t="s">
        <v>24</v>
      </c>
    </row>
    <row r="7" customFormat="false" ht="48" hidden="false" customHeight="true" outlineLevel="0" collapsed="false">
      <c r="A7" s="8"/>
      <c r="B7" s="8"/>
      <c r="C7" s="9" t="s">
        <v>25</v>
      </c>
      <c r="D7" s="10" t="s">
        <v>41</v>
      </c>
      <c r="E7" s="11" t="s">
        <v>27</v>
      </c>
      <c r="F7" s="10" t="s">
        <v>42</v>
      </c>
      <c r="G7" s="10"/>
      <c r="H7" s="10" t="s">
        <v>34</v>
      </c>
      <c r="I7" s="10" t="s">
        <v>43</v>
      </c>
    </row>
    <row r="8" customFormat="false" ht="48" hidden="false" customHeight="true" outlineLevel="0" collapsed="false">
      <c r="A8" s="8"/>
      <c r="B8" s="8"/>
      <c r="C8" s="9" t="s">
        <v>31</v>
      </c>
      <c r="D8" s="10" t="s">
        <v>32</v>
      </c>
      <c r="E8" s="11" t="s">
        <v>27</v>
      </c>
      <c r="F8" s="10" t="s">
        <v>33</v>
      </c>
      <c r="G8" s="10"/>
      <c r="H8" s="10" t="s">
        <v>34</v>
      </c>
      <c r="I8" s="10" t="s">
        <v>35</v>
      </c>
    </row>
    <row r="9" customFormat="false" ht="15" hidden="false" customHeight="false" outlineLevel="0" collapsed="false">
      <c r="A9" s="8"/>
      <c r="B9" s="8"/>
      <c r="C9" s="9" t="s">
        <v>36</v>
      </c>
      <c r="D9" s="10" t="s">
        <v>37</v>
      </c>
      <c r="E9" s="11"/>
      <c r="F9" s="10"/>
      <c r="G9" s="10"/>
      <c r="H9" s="10"/>
      <c r="I9" s="10" t="s">
        <v>38</v>
      </c>
    </row>
    <row r="10" customFormat="false" ht="23.85" hidden="false" customHeight="false" outlineLevel="0" collapsed="false">
      <c r="A10" s="5" t="s">
        <v>44</v>
      </c>
      <c r="B10" s="5" t="s">
        <v>45</v>
      </c>
      <c r="C10" s="5" t="s">
        <v>22</v>
      </c>
      <c r="D10" s="6" t="s">
        <v>23</v>
      </c>
      <c r="E10" s="7"/>
      <c r="F10" s="6"/>
      <c r="G10" s="6"/>
      <c r="H10" s="6"/>
      <c r="I10" s="6" t="s">
        <v>46</v>
      </c>
    </row>
    <row r="11" customFormat="false" ht="48" hidden="false" customHeight="true" outlineLevel="0" collapsed="false">
      <c r="A11" s="8"/>
      <c r="B11" s="8"/>
      <c r="C11" s="9" t="s">
        <v>25</v>
      </c>
      <c r="D11" s="10" t="s">
        <v>47</v>
      </c>
      <c r="E11" s="11" t="s">
        <v>27</v>
      </c>
      <c r="F11" s="10" t="s">
        <v>48</v>
      </c>
      <c r="G11" s="10"/>
      <c r="H11" s="10" t="s">
        <v>49</v>
      </c>
      <c r="I11" s="10" t="s">
        <v>50</v>
      </c>
    </row>
    <row r="12" customFormat="false" ht="15" hidden="false" customHeight="false" outlineLevel="0" collapsed="false">
      <c r="A12" s="8"/>
      <c r="B12" s="8"/>
      <c r="C12" s="9" t="s">
        <v>36</v>
      </c>
      <c r="D12" s="10" t="s">
        <v>37</v>
      </c>
      <c r="E12" s="11"/>
      <c r="F12" s="10"/>
      <c r="G12" s="10"/>
      <c r="H12" s="10"/>
      <c r="I12" s="10" t="s">
        <v>51</v>
      </c>
    </row>
    <row r="13" customFormat="false" ht="23.85" hidden="false" customHeight="false" outlineLevel="0" collapsed="false">
      <c r="A13" s="5" t="s">
        <v>52</v>
      </c>
      <c r="B13" s="5" t="s">
        <v>53</v>
      </c>
      <c r="C13" s="5" t="s">
        <v>22</v>
      </c>
      <c r="D13" s="6" t="s">
        <v>23</v>
      </c>
      <c r="E13" s="7"/>
      <c r="F13" s="6"/>
      <c r="G13" s="6"/>
      <c r="H13" s="6"/>
      <c r="I13" s="6" t="s">
        <v>24</v>
      </c>
    </row>
    <row r="14" customFormat="false" ht="48" hidden="false" customHeight="true" outlineLevel="0" collapsed="false">
      <c r="A14" s="8"/>
      <c r="B14" s="8"/>
      <c r="C14" s="9" t="s">
        <v>25</v>
      </c>
      <c r="D14" s="10" t="s">
        <v>26</v>
      </c>
      <c r="E14" s="11" t="s">
        <v>27</v>
      </c>
      <c r="F14" s="10" t="s">
        <v>42</v>
      </c>
      <c r="G14" s="10"/>
      <c r="H14" s="10" t="s">
        <v>29</v>
      </c>
      <c r="I14" s="10" t="s">
        <v>30</v>
      </c>
    </row>
    <row r="15" customFormat="false" ht="21" hidden="false" customHeight="true" outlineLevel="0" collapsed="false">
      <c r="A15" s="8"/>
      <c r="B15" s="8"/>
      <c r="C15" s="9" t="s">
        <v>31</v>
      </c>
      <c r="D15" s="10" t="s">
        <v>54</v>
      </c>
      <c r="E15" s="11" t="s">
        <v>55</v>
      </c>
      <c r="F15" s="10" t="s">
        <v>56</v>
      </c>
      <c r="G15" s="10" t="s">
        <v>57</v>
      </c>
      <c r="H15" s="10" t="s">
        <v>58</v>
      </c>
      <c r="I15" s="10" t="s">
        <v>35</v>
      </c>
    </row>
    <row r="16" customFormat="false" ht="21" hidden="false" customHeight="true" outlineLevel="0" collapsed="false">
      <c r="A16" s="8"/>
      <c r="B16" s="8"/>
      <c r="C16" s="9"/>
      <c r="D16" s="9"/>
      <c r="E16" s="12" t="s">
        <v>59</v>
      </c>
      <c r="F16" s="8" t="s">
        <v>60</v>
      </c>
      <c r="G16" s="8" t="s">
        <v>57</v>
      </c>
      <c r="H16" s="8" t="s">
        <v>61</v>
      </c>
      <c r="I16" s="10"/>
    </row>
    <row r="17" customFormat="false" ht="21" hidden="false" customHeight="true" outlineLevel="0" collapsed="false">
      <c r="A17" s="8"/>
      <c r="B17" s="8"/>
      <c r="C17" s="9"/>
      <c r="D17" s="9"/>
      <c r="E17" s="12" t="s">
        <v>62</v>
      </c>
      <c r="F17" s="8" t="s">
        <v>63</v>
      </c>
      <c r="G17" s="8" t="s">
        <v>64</v>
      </c>
      <c r="H17" s="8" t="s">
        <v>65</v>
      </c>
      <c r="I17" s="10"/>
    </row>
    <row r="18" customFormat="false" ht="15" hidden="false" customHeight="false" outlineLevel="0" collapsed="false">
      <c r="A18" s="8"/>
      <c r="B18" s="8"/>
      <c r="C18" s="9" t="s">
        <v>36</v>
      </c>
      <c r="D18" s="10" t="s">
        <v>37</v>
      </c>
      <c r="E18" s="11"/>
      <c r="F18" s="10"/>
      <c r="G18" s="10"/>
      <c r="H18" s="10"/>
      <c r="I18" s="10" t="s">
        <v>38</v>
      </c>
    </row>
    <row r="19" customFormat="false" ht="23.85" hidden="false" customHeight="false" outlineLevel="0" collapsed="false">
      <c r="A19" s="5" t="s">
        <v>66</v>
      </c>
      <c r="B19" s="5" t="s">
        <v>67</v>
      </c>
      <c r="C19" s="5" t="s">
        <v>22</v>
      </c>
      <c r="D19" s="6" t="s">
        <v>23</v>
      </c>
      <c r="E19" s="7"/>
      <c r="F19" s="6"/>
      <c r="G19" s="6"/>
      <c r="H19" s="6"/>
      <c r="I19" s="6" t="s">
        <v>46</v>
      </c>
    </row>
    <row r="20" customFormat="false" ht="48" hidden="false" customHeight="true" outlineLevel="0" collapsed="false">
      <c r="A20" s="8"/>
      <c r="B20" s="8"/>
      <c r="C20" s="9" t="s">
        <v>25</v>
      </c>
      <c r="D20" s="10" t="s">
        <v>68</v>
      </c>
      <c r="E20" s="11" t="s">
        <v>27</v>
      </c>
      <c r="F20" s="10" t="s">
        <v>33</v>
      </c>
      <c r="G20" s="10"/>
      <c r="H20" s="10" t="s">
        <v>34</v>
      </c>
      <c r="I20" s="10" t="s">
        <v>69</v>
      </c>
    </row>
    <row r="21" customFormat="false" ht="48" hidden="false" customHeight="true" outlineLevel="0" collapsed="false">
      <c r="A21" s="8"/>
      <c r="B21" s="8"/>
      <c r="C21" s="9" t="s">
        <v>31</v>
      </c>
      <c r="D21" s="10" t="s">
        <v>70</v>
      </c>
      <c r="E21" s="11" t="s">
        <v>27</v>
      </c>
      <c r="F21" s="10" t="s">
        <v>71</v>
      </c>
      <c r="G21" s="10"/>
      <c r="H21" s="10" t="s">
        <v>34</v>
      </c>
      <c r="I21" s="10" t="s">
        <v>72</v>
      </c>
    </row>
    <row r="22" customFormat="false" ht="15" hidden="false" customHeight="false" outlineLevel="0" collapsed="false">
      <c r="A22" s="8"/>
      <c r="B22" s="8"/>
      <c r="C22" s="9" t="s">
        <v>36</v>
      </c>
      <c r="D22" s="10" t="s">
        <v>37</v>
      </c>
      <c r="E22" s="11"/>
      <c r="F22" s="10"/>
      <c r="G22" s="10"/>
      <c r="H22" s="10"/>
      <c r="I22" s="10" t="s">
        <v>51</v>
      </c>
    </row>
    <row r="23" customFormat="false" ht="23.85" hidden="false" customHeight="false" outlineLevel="0" collapsed="false">
      <c r="A23" s="5" t="s">
        <v>73</v>
      </c>
      <c r="B23" s="5" t="s">
        <v>74</v>
      </c>
      <c r="C23" s="5" t="s">
        <v>22</v>
      </c>
      <c r="D23" s="6" t="s">
        <v>23</v>
      </c>
      <c r="E23" s="7"/>
      <c r="F23" s="6"/>
      <c r="G23" s="6"/>
      <c r="H23" s="6"/>
      <c r="I23" s="6" t="s">
        <v>72</v>
      </c>
    </row>
    <row r="24" customFormat="false" ht="19.5" hidden="false" customHeight="true" outlineLevel="0" collapsed="false">
      <c r="A24" s="8"/>
      <c r="B24" s="8"/>
      <c r="C24" s="9" t="s">
        <v>25</v>
      </c>
      <c r="D24" s="10" t="s">
        <v>75</v>
      </c>
      <c r="E24" s="11" t="s">
        <v>55</v>
      </c>
      <c r="F24" s="10" t="s">
        <v>76</v>
      </c>
      <c r="G24" s="10" t="s">
        <v>77</v>
      </c>
      <c r="H24" s="10" t="s">
        <v>78</v>
      </c>
      <c r="I24" s="10" t="s">
        <v>30</v>
      </c>
    </row>
    <row r="25" customFormat="false" ht="19.5" hidden="false" customHeight="true" outlineLevel="0" collapsed="false">
      <c r="A25" s="8"/>
      <c r="B25" s="8"/>
      <c r="C25" s="9"/>
      <c r="D25" s="9"/>
      <c r="E25" s="12" t="s">
        <v>59</v>
      </c>
      <c r="F25" s="8" t="s">
        <v>79</v>
      </c>
      <c r="G25" s="8" t="s">
        <v>77</v>
      </c>
      <c r="H25" s="8" t="s">
        <v>80</v>
      </c>
      <c r="I25" s="10"/>
    </row>
    <row r="26" customFormat="false" ht="19.5" hidden="false" customHeight="true" outlineLevel="0" collapsed="false">
      <c r="A26" s="8"/>
      <c r="B26" s="8"/>
      <c r="C26" s="9"/>
      <c r="D26" s="9"/>
      <c r="E26" s="12" t="s">
        <v>62</v>
      </c>
      <c r="F26" s="8" t="s">
        <v>81</v>
      </c>
      <c r="G26" s="8" t="s">
        <v>77</v>
      </c>
      <c r="H26" s="8" t="s">
        <v>61</v>
      </c>
      <c r="I26" s="10"/>
    </row>
    <row r="27" customFormat="false" ht="19.5" hidden="false" customHeight="true" outlineLevel="0" collapsed="false">
      <c r="A27" s="8"/>
      <c r="B27" s="8"/>
      <c r="C27" s="9"/>
      <c r="D27" s="9"/>
      <c r="E27" s="12" t="s">
        <v>82</v>
      </c>
      <c r="F27" s="8" t="s">
        <v>83</v>
      </c>
      <c r="G27" s="8" t="s">
        <v>77</v>
      </c>
      <c r="H27" s="8" t="s">
        <v>84</v>
      </c>
      <c r="I27" s="10"/>
    </row>
    <row r="28" customFormat="false" ht="48" hidden="false" customHeight="true" outlineLevel="0" collapsed="false">
      <c r="A28" s="8"/>
      <c r="B28" s="8"/>
      <c r="C28" s="9" t="s">
        <v>31</v>
      </c>
      <c r="D28" s="10" t="s">
        <v>85</v>
      </c>
      <c r="E28" s="11" t="s">
        <v>86</v>
      </c>
      <c r="F28" s="10" t="s">
        <v>87</v>
      </c>
      <c r="G28" s="10" t="s">
        <v>88</v>
      </c>
      <c r="H28" s="10" t="s">
        <v>89</v>
      </c>
      <c r="I28" s="10" t="s">
        <v>90</v>
      </c>
    </row>
    <row r="29" customFormat="false" ht="48" hidden="false" customHeight="true" outlineLevel="0" collapsed="false">
      <c r="A29" s="8"/>
      <c r="B29" s="8"/>
      <c r="C29" s="9"/>
      <c r="D29" s="9"/>
      <c r="E29" s="12" t="s">
        <v>91</v>
      </c>
      <c r="F29" s="8" t="s">
        <v>92</v>
      </c>
      <c r="G29" s="8" t="s">
        <v>57</v>
      </c>
      <c r="H29" s="8" t="s">
        <v>93</v>
      </c>
      <c r="I29" s="10"/>
    </row>
    <row r="30" customFormat="false" ht="15" hidden="false" customHeight="false" outlineLevel="0" collapsed="false">
      <c r="A30" s="8"/>
      <c r="B30" s="8"/>
      <c r="C30" s="9" t="s">
        <v>36</v>
      </c>
      <c r="D30" s="10" t="s">
        <v>37</v>
      </c>
      <c r="E30" s="11"/>
      <c r="F30" s="10"/>
      <c r="G30" s="10"/>
      <c r="H30" s="10"/>
      <c r="I30" s="10" t="s">
        <v>38</v>
      </c>
    </row>
    <row r="31" customFormat="false" ht="23.85" hidden="false" customHeight="false" outlineLevel="0" collapsed="false">
      <c r="A31" s="5" t="s">
        <v>94</v>
      </c>
      <c r="B31" s="5" t="s">
        <v>95</v>
      </c>
      <c r="C31" s="5" t="s">
        <v>22</v>
      </c>
      <c r="D31" s="6" t="s">
        <v>23</v>
      </c>
      <c r="E31" s="7"/>
      <c r="F31" s="6"/>
      <c r="G31" s="6"/>
      <c r="H31" s="6"/>
      <c r="I31" s="6" t="s">
        <v>72</v>
      </c>
    </row>
    <row r="32" customFormat="false" ht="19.5" hidden="false" customHeight="true" outlineLevel="0" collapsed="false">
      <c r="A32" s="8"/>
      <c r="B32" s="8"/>
      <c r="C32" s="9" t="s">
        <v>25</v>
      </c>
      <c r="D32" s="10" t="s">
        <v>96</v>
      </c>
      <c r="E32" s="11" t="s">
        <v>55</v>
      </c>
      <c r="F32" s="10" t="s">
        <v>97</v>
      </c>
      <c r="G32" s="10" t="s">
        <v>98</v>
      </c>
      <c r="H32" s="10" t="s">
        <v>78</v>
      </c>
      <c r="I32" s="10" t="s">
        <v>99</v>
      </c>
    </row>
    <row r="33" customFormat="false" ht="19.5" hidden="false" customHeight="true" outlineLevel="0" collapsed="false">
      <c r="A33" s="8"/>
      <c r="B33" s="8"/>
      <c r="C33" s="9"/>
      <c r="D33" s="9"/>
      <c r="E33" s="12" t="s">
        <v>59</v>
      </c>
      <c r="F33" s="8" t="s">
        <v>100</v>
      </c>
      <c r="G33" s="8" t="s">
        <v>98</v>
      </c>
      <c r="H33" s="8" t="s">
        <v>61</v>
      </c>
      <c r="I33" s="10"/>
    </row>
    <row r="34" customFormat="false" ht="19.5" hidden="false" customHeight="true" outlineLevel="0" collapsed="false">
      <c r="A34" s="8"/>
      <c r="B34" s="8"/>
      <c r="C34" s="9"/>
      <c r="D34" s="9"/>
      <c r="E34" s="12" t="s">
        <v>62</v>
      </c>
      <c r="F34" s="8" t="s">
        <v>101</v>
      </c>
      <c r="G34" s="8" t="s">
        <v>98</v>
      </c>
      <c r="H34" s="8" t="s">
        <v>58</v>
      </c>
      <c r="I34" s="10"/>
    </row>
    <row r="35" customFormat="false" ht="19.5" hidden="false" customHeight="true" outlineLevel="0" collapsed="false">
      <c r="A35" s="8"/>
      <c r="B35" s="8"/>
      <c r="C35" s="9"/>
      <c r="D35" s="9"/>
      <c r="E35" s="12" t="s">
        <v>82</v>
      </c>
      <c r="F35" s="8" t="s">
        <v>63</v>
      </c>
      <c r="G35" s="8" t="s">
        <v>98</v>
      </c>
      <c r="H35" s="8" t="s">
        <v>65</v>
      </c>
      <c r="I35" s="10"/>
    </row>
    <row r="36" customFormat="false" ht="48" hidden="false" customHeight="true" outlineLevel="0" collapsed="false">
      <c r="A36" s="8"/>
      <c r="B36" s="8"/>
      <c r="C36" s="9" t="s">
        <v>31</v>
      </c>
      <c r="D36" s="10" t="s">
        <v>102</v>
      </c>
      <c r="E36" s="11" t="s">
        <v>27</v>
      </c>
      <c r="F36" s="10" t="s">
        <v>42</v>
      </c>
      <c r="G36" s="10"/>
      <c r="H36" s="10" t="s">
        <v>29</v>
      </c>
      <c r="I36" s="10" t="s">
        <v>35</v>
      </c>
    </row>
    <row r="37" customFormat="false" ht="15" hidden="false" customHeight="false" outlineLevel="0" collapsed="false">
      <c r="A37" s="8"/>
      <c r="B37" s="8"/>
      <c r="C37" s="9" t="s">
        <v>36</v>
      </c>
      <c r="D37" s="10" t="s">
        <v>37</v>
      </c>
      <c r="E37" s="11"/>
      <c r="F37" s="10"/>
      <c r="G37" s="10"/>
      <c r="H37" s="10"/>
      <c r="I37" s="10" t="s">
        <v>38</v>
      </c>
    </row>
    <row r="38" customFormat="false" ht="23.85" hidden="false" customHeight="false" outlineLevel="0" collapsed="false">
      <c r="A38" s="5" t="s">
        <v>103</v>
      </c>
      <c r="B38" s="5" t="s">
        <v>104</v>
      </c>
      <c r="C38" s="5" t="s">
        <v>22</v>
      </c>
      <c r="D38" s="6" t="s">
        <v>23</v>
      </c>
      <c r="E38" s="7"/>
      <c r="F38" s="6"/>
      <c r="G38" s="6"/>
      <c r="H38" s="6"/>
      <c r="I38" s="6" t="s">
        <v>72</v>
      </c>
    </row>
    <row r="39" customFormat="false" ht="15.75" hidden="false" customHeight="true" outlineLevel="0" collapsed="false">
      <c r="A39" s="8"/>
      <c r="B39" s="8"/>
      <c r="C39" s="9" t="s">
        <v>25</v>
      </c>
      <c r="D39" s="10" t="s">
        <v>105</v>
      </c>
      <c r="E39" s="11" t="s">
        <v>55</v>
      </c>
      <c r="F39" s="10" t="s">
        <v>106</v>
      </c>
      <c r="G39" s="10" t="s">
        <v>107</v>
      </c>
      <c r="H39" s="10" t="s">
        <v>84</v>
      </c>
      <c r="I39" s="10" t="s">
        <v>30</v>
      </c>
    </row>
    <row r="40" customFormat="false" ht="15.75" hidden="false" customHeight="true" outlineLevel="0" collapsed="false">
      <c r="A40" s="8"/>
      <c r="B40" s="8"/>
      <c r="C40" s="9"/>
      <c r="D40" s="9"/>
      <c r="E40" s="12" t="s">
        <v>59</v>
      </c>
      <c r="F40" s="8" t="s">
        <v>100</v>
      </c>
      <c r="G40" s="8" t="s">
        <v>57</v>
      </c>
      <c r="H40" s="8" t="s">
        <v>61</v>
      </c>
      <c r="I40" s="10"/>
    </row>
    <row r="41" customFormat="false" ht="15.75" hidden="false" customHeight="true" outlineLevel="0" collapsed="false">
      <c r="A41" s="8"/>
      <c r="B41" s="8"/>
      <c r="C41" s="9"/>
      <c r="D41" s="9"/>
      <c r="E41" s="12" t="s">
        <v>62</v>
      </c>
      <c r="F41" s="8" t="s">
        <v>81</v>
      </c>
      <c r="G41" s="8" t="s">
        <v>108</v>
      </c>
      <c r="H41" s="8" t="s">
        <v>61</v>
      </c>
      <c r="I41" s="10"/>
    </row>
    <row r="42" customFormat="false" ht="15.75" hidden="false" customHeight="true" outlineLevel="0" collapsed="false">
      <c r="A42" s="8"/>
      <c r="B42" s="8"/>
      <c r="C42" s="9"/>
      <c r="D42" s="9"/>
      <c r="E42" s="12" t="s">
        <v>82</v>
      </c>
      <c r="F42" s="8" t="s">
        <v>109</v>
      </c>
      <c r="G42" s="8" t="s">
        <v>110</v>
      </c>
      <c r="H42" s="8" t="s">
        <v>84</v>
      </c>
      <c r="I42" s="10"/>
    </row>
    <row r="43" customFormat="false" ht="21" hidden="false" customHeight="true" outlineLevel="0" collapsed="false">
      <c r="A43" s="8"/>
      <c r="B43" s="8"/>
      <c r="C43" s="9" t="s">
        <v>31</v>
      </c>
      <c r="D43" s="10" t="s">
        <v>54</v>
      </c>
      <c r="E43" s="11" t="s">
        <v>55</v>
      </c>
      <c r="F43" s="10" t="s">
        <v>111</v>
      </c>
      <c r="G43" s="10" t="s">
        <v>57</v>
      </c>
      <c r="H43" s="10" t="s">
        <v>58</v>
      </c>
      <c r="I43" s="10" t="s">
        <v>90</v>
      </c>
    </row>
    <row r="44" customFormat="false" ht="21" hidden="false" customHeight="true" outlineLevel="0" collapsed="false">
      <c r="A44" s="8"/>
      <c r="B44" s="8"/>
      <c r="C44" s="9"/>
      <c r="D44" s="9"/>
      <c r="E44" s="12" t="s">
        <v>59</v>
      </c>
      <c r="F44" s="8" t="s">
        <v>112</v>
      </c>
      <c r="G44" s="8" t="s">
        <v>57</v>
      </c>
      <c r="H44" s="8" t="s">
        <v>58</v>
      </c>
      <c r="I44" s="10"/>
    </row>
    <row r="45" customFormat="false" ht="21" hidden="false" customHeight="true" outlineLevel="0" collapsed="false">
      <c r="A45" s="8"/>
      <c r="B45" s="8"/>
      <c r="C45" s="9"/>
      <c r="D45" s="9"/>
      <c r="E45" s="12" t="s">
        <v>62</v>
      </c>
      <c r="F45" s="8" t="s">
        <v>113</v>
      </c>
      <c r="G45" s="8" t="s">
        <v>110</v>
      </c>
      <c r="H45" s="8" t="s">
        <v>61</v>
      </c>
      <c r="I45" s="10"/>
    </row>
    <row r="46" customFormat="false" ht="15" hidden="false" customHeight="false" outlineLevel="0" collapsed="false">
      <c r="A46" s="8"/>
      <c r="B46" s="8"/>
      <c r="C46" s="9" t="s">
        <v>36</v>
      </c>
      <c r="D46" s="10" t="s">
        <v>37</v>
      </c>
      <c r="E46" s="11"/>
      <c r="F46" s="10"/>
      <c r="G46" s="10"/>
      <c r="H46" s="10"/>
      <c r="I46" s="10" t="s">
        <v>38</v>
      </c>
    </row>
    <row r="47" customFormat="false" ht="23.85" hidden="false" customHeight="false" outlineLevel="0" collapsed="false">
      <c r="A47" s="5" t="s">
        <v>114</v>
      </c>
      <c r="B47" s="5" t="s">
        <v>115</v>
      </c>
      <c r="C47" s="5" t="s">
        <v>22</v>
      </c>
      <c r="D47" s="6" t="s">
        <v>23</v>
      </c>
      <c r="E47" s="7"/>
      <c r="F47" s="6"/>
      <c r="G47" s="6"/>
      <c r="H47" s="6"/>
      <c r="I47" s="6" t="s">
        <v>72</v>
      </c>
    </row>
    <row r="48" customFormat="false" ht="19.5" hidden="false" customHeight="true" outlineLevel="0" collapsed="false">
      <c r="A48" s="8"/>
      <c r="B48" s="8"/>
      <c r="C48" s="9" t="s">
        <v>25</v>
      </c>
      <c r="D48" s="10" t="s">
        <v>116</v>
      </c>
      <c r="E48" s="11" t="s">
        <v>55</v>
      </c>
      <c r="F48" s="10" t="s">
        <v>117</v>
      </c>
      <c r="G48" s="10" t="s">
        <v>77</v>
      </c>
      <c r="H48" s="10" t="s">
        <v>84</v>
      </c>
      <c r="I48" s="10" t="s">
        <v>118</v>
      </c>
    </row>
    <row r="49" customFormat="false" ht="19.5" hidden="false" customHeight="true" outlineLevel="0" collapsed="false">
      <c r="A49" s="8"/>
      <c r="B49" s="8"/>
      <c r="C49" s="9"/>
      <c r="D49" s="9"/>
      <c r="E49" s="12" t="s">
        <v>59</v>
      </c>
      <c r="F49" s="8" t="s">
        <v>119</v>
      </c>
      <c r="G49" s="8" t="s">
        <v>77</v>
      </c>
      <c r="H49" s="8" t="s">
        <v>58</v>
      </c>
      <c r="I49" s="10"/>
    </row>
    <row r="50" customFormat="false" ht="19.5" hidden="false" customHeight="true" outlineLevel="0" collapsed="false">
      <c r="A50" s="8"/>
      <c r="B50" s="8"/>
      <c r="C50" s="9"/>
      <c r="D50" s="9"/>
      <c r="E50" s="12" t="s">
        <v>62</v>
      </c>
      <c r="F50" s="8" t="s">
        <v>120</v>
      </c>
      <c r="G50" s="8" t="s">
        <v>77</v>
      </c>
      <c r="H50" s="8" t="s">
        <v>58</v>
      </c>
      <c r="I50" s="10"/>
    </row>
    <row r="51" customFormat="false" ht="19.5" hidden="false" customHeight="true" outlineLevel="0" collapsed="false">
      <c r="A51" s="8"/>
      <c r="B51" s="8"/>
      <c r="C51" s="9"/>
      <c r="D51" s="9"/>
      <c r="E51" s="12" t="s">
        <v>82</v>
      </c>
      <c r="F51" s="8" t="s">
        <v>121</v>
      </c>
      <c r="G51" s="8" t="s">
        <v>77</v>
      </c>
      <c r="H51" s="8" t="s">
        <v>122</v>
      </c>
      <c r="I51" s="10"/>
    </row>
    <row r="52" customFormat="false" ht="48" hidden="false" customHeight="true" outlineLevel="0" collapsed="false">
      <c r="A52" s="8"/>
      <c r="B52" s="8"/>
      <c r="C52" s="9" t="s">
        <v>31</v>
      </c>
      <c r="D52" s="10" t="s">
        <v>123</v>
      </c>
      <c r="E52" s="11" t="s">
        <v>86</v>
      </c>
      <c r="F52" s="10" t="s">
        <v>124</v>
      </c>
      <c r="G52" s="10" t="s">
        <v>125</v>
      </c>
      <c r="H52" s="10" t="s">
        <v>126</v>
      </c>
      <c r="I52" s="10" t="s">
        <v>90</v>
      </c>
    </row>
    <row r="53" customFormat="false" ht="48" hidden="false" customHeight="true" outlineLevel="0" collapsed="false">
      <c r="A53" s="8"/>
      <c r="B53" s="8"/>
      <c r="C53" s="9"/>
      <c r="D53" s="9"/>
      <c r="E53" s="12" t="s">
        <v>91</v>
      </c>
      <c r="F53" s="8" t="s">
        <v>111</v>
      </c>
      <c r="G53" s="8" t="s">
        <v>127</v>
      </c>
      <c r="H53" s="8" t="s">
        <v>128</v>
      </c>
      <c r="I53" s="10"/>
    </row>
    <row r="54" customFormat="false" ht="24" hidden="false" customHeight="true" outlineLevel="0" collapsed="false">
      <c r="A54" s="8"/>
      <c r="B54" s="8"/>
      <c r="C54" s="9" t="s">
        <v>129</v>
      </c>
      <c r="D54" s="10" t="s">
        <v>130</v>
      </c>
      <c r="E54" s="11" t="s">
        <v>131</v>
      </c>
      <c r="F54" s="10" t="s">
        <v>76</v>
      </c>
      <c r="G54" s="10" t="s">
        <v>132</v>
      </c>
      <c r="H54" s="10" t="s">
        <v>133</v>
      </c>
      <c r="I54" s="10" t="s">
        <v>46</v>
      </c>
    </row>
    <row r="55" customFormat="false" ht="24" hidden="false" customHeight="true" outlineLevel="0" collapsed="false">
      <c r="A55" s="8"/>
      <c r="B55" s="8"/>
      <c r="C55" s="9"/>
      <c r="D55" s="9"/>
      <c r="E55" s="12" t="s">
        <v>134</v>
      </c>
      <c r="F55" s="8" t="s">
        <v>135</v>
      </c>
      <c r="G55" s="8" t="s">
        <v>132</v>
      </c>
      <c r="H55" s="8" t="s">
        <v>133</v>
      </c>
      <c r="I55" s="10"/>
    </row>
    <row r="56" customFormat="false" ht="15" hidden="false" customHeight="false" outlineLevel="0" collapsed="false">
      <c r="A56" s="8"/>
      <c r="B56" s="8"/>
      <c r="C56" s="9" t="s">
        <v>36</v>
      </c>
      <c r="D56" s="10" t="s">
        <v>37</v>
      </c>
      <c r="E56" s="11"/>
      <c r="F56" s="10"/>
      <c r="G56" s="10"/>
      <c r="H56" s="10"/>
      <c r="I56" s="10" t="s">
        <v>38</v>
      </c>
    </row>
    <row r="57" customFormat="false" ht="23.85" hidden="false" customHeight="false" outlineLevel="0" collapsed="false">
      <c r="A57" s="5" t="s">
        <v>136</v>
      </c>
      <c r="B57" s="5" t="s">
        <v>137</v>
      </c>
      <c r="C57" s="5" t="s">
        <v>22</v>
      </c>
      <c r="D57" s="6" t="s">
        <v>23</v>
      </c>
      <c r="E57" s="7"/>
      <c r="F57" s="6"/>
      <c r="G57" s="6"/>
      <c r="H57" s="6"/>
      <c r="I57" s="6" t="s">
        <v>72</v>
      </c>
    </row>
    <row r="58" customFormat="false" ht="15.75" hidden="false" customHeight="true" outlineLevel="0" collapsed="false">
      <c r="A58" s="8"/>
      <c r="B58" s="8"/>
      <c r="C58" s="9" t="s">
        <v>25</v>
      </c>
      <c r="D58" s="10" t="s">
        <v>138</v>
      </c>
      <c r="E58" s="11" t="s">
        <v>55</v>
      </c>
      <c r="F58" s="10" t="s">
        <v>139</v>
      </c>
      <c r="G58" s="10" t="s">
        <v>140</v>
      </c>
      <c r="H58" s="10" t="s">
        <v>84</v>
      </c>
      <c r="I58" s="10" t="s">
        <v>30</v>
      </c>
    </row>
    <row r="59" customFormat="false" ht="15.75" hidden="false" customHeight="true" outlineLevel="0" collapsed="false">
      <c r="A59" s="8"/>
      <c r="B59" s="8"/>
      <c r="C59" s="9"/>
      <c r="D59" s="9"/>
      <c r="E59" s="12" t="s">
        <v>59</v>
      </c>
      <c r="F59" s="8" t="s">
        <v>92</v>
      </c>
      <c r="G59" s="8" t="s">
        <v>57</v>
      </c>
      <c r="H59" s="8" t="s">
        <v>80</v>
      </c>
      <c r="I59" s="10"/>
    </row>
    <row r="60" customFormat="false" ht="15.75" hidden="false" customHeight="true" outlineLevel="0" collapsed="false">
      <c r="A60" s="8"/>
      <c r="B60" s="8"/>
      <c r="C60" s="9"/>
      <c r="D60" s="9"/>
      <c r="E60" s="12" t="s">
        <v>62</v>
      </c>
      <c r="F60" s="8" t="s">
        <v>120</v>
      </c>
      <c r="G60" s="8" t="s">
        <v>57</v>
      </c>
      <c r="H60" s="8" t="s">
        <v>58</v>
      </c>
      <c r="I60" s="10"/>
    </row>
    <row r="61" customFormat="false" ht="15.75" hidden="false" customHeight="true" outlineLevel="0" collapsed="false">
      <c r="A61" s="8"/>
      <c r="B61" s="8"/>
      <c r="C61" s="9"/>
      <c r="D61" s="9"/>
      <c r="E61" s="12" t="s">
        <v>82</v>
      </c>
      <c r="F61" s="8" t="s">
        <v>121</v>
      </c>
      <c r="G61" s="8" t="s">
        <v>108</v>
      </c>
      <c r="H61" s="8" t="s">
        <v>122</v>
      </c>
      <c r="I61" s="10"/>
    </row>
    <row r="62" customFormat="false" ht="48" hidden="false" customHeight="true" outlineLevel="0" collapsed="false">
      <c r="A62" s="8"/>
      <c r="B62" s="8"/>
      <c r="C62" s="9" t="s">
        <v>31</v>
      </c>
      <c r="D62" s="10" t="s">
        <v>123</v>
      </c>
      <c r="E62" s="11" t="s">
        <v>86</v>
      </c>
      <c r="F62" s="10" t="s">
        <v>117</v>
      </c>
      <c r="G62" s="10" t="s">
        <v>141</v>
      </c>
      <c r="H62" s="10" t="s">
        <v>142</v>
      </c>
      <c r="I62" s="10" t="s">
        <v>90</v>
      </c>
    </row>
    <row r="63" customFormat="false" ht="48" hidden="false" customHeight="true" outlineLevel="0" collapsed="false">
      <c r="A63" s="8"/>
      <c r="B63" s="8"/>
      <c r="C63" s="9"/>
      <c r="D63" s="9"/>
      <c r="E63" s="12" t="s">
        <v>91</v>
      </c>
      <c r="F63" s="8" t="s">
        <v>81</v>
      </c>
      <c r="G63" s="8" t="s">
        <v>57</v>
      </c>
      <c r="H63" s="8" t="s">
        <v>143</v>
      </c>
      <c r="I63" s="10"/>
    </row>
    <row r="64" customFormat="false" ht="24" hidden="false" customHeight="true" outlineLevel="0" collapsed="false">
      <c r="A64" s="8"/>
      <c r="B64" s="8"/>
      <c r="C64" s="9" t="s">
        <v>129</v>
      </c>
      <c r="D64" s="10" t="s">
        <v>130</v>
      </c>
      <c r="E64" s="11" t="s">
        <v>131</v>
      </c>
      <c r="F64" s="10" t="s">
        <v>135</v>
      </c>
      <c r="G64" s="10" t="s">
        <v>132</v>
      </c>
      <c r="H64" s="10" t="s">
        <v>133</v>
      </c>
      <c r="I64" s="10" t="s">
        <v>46</v>
      </c>
    </row>
    <row r="65" customFormat="false" ht="24" hidden="false" customHeight="true" outlineLevel="0" collapsed="false">
      <c r="A65" s="8"/>
      <c r="B65" s="8"/>
      <c r="C65" s="9"/>
      <c r="D65" s="9"/>
      <c r="E65" s="12" t="s">
        <v>134</v>
      </c>
      <c r="F65" s="8" t="s">
        <v>87</v>
      </c>
      <c r="G65" s="8" t="s">
        <v>132</v>
      </c>
      <c r="H65" s="8" t="s">
        <v>133</v>
      </c>
      <c r="I65" s="10"/>
    </row>
    <row r="66" customFormat="false" ht="15" hidden="false" customHeight="false" outlineLevel="0" collapsed="false">
      <c r="A66" s="8"/>
      <c r="B66" s="8"/>
      <c r="C66" s="9" t="s">
        <v>36</v>
      </c>
      <c r="D66" s="10" t="s">
        <v>37</v>
      </c>
      <c r="E66" s="11"/>
      <c r="F66" s="10"/>
      <c r="G66" s="10"/>
      <c r="H66" s="10"/>
      <c r="I66" s="10" t="s">
        <v>38</v>
      </c>
    </row>
    <row r="67" customFormat="false" ht="35.05" hidden="false" customHeight="false" outlineLevel="0" collapsed="false">
      <c r="A67" s="5" t="s">
        <v>144</v>
      </c>
      <c r="B67" s="5" t="s">
        <v>145</v>
      </c>
      <c r="C67" s="5" t="s">
        <v>22</v>
      </c>
      <c r="D67" s="6" t="s">
        <v>23</v>
      </c>
      <c r="E67" s="7"/>
      <c r="F67" s="6"/>
      <c r="G67" s="6"/>
      <c r="H67" s="6"/>
      <c r="I67" s="6" t="s">
        <v>72</v>
      </c>
    </row>
    <row r="68" customFormat="false" ht="19.5" hidden="false" customHeight="true" outlineLevel="0" collapsed="false">
      <c r="A68" s="8"/>
      <c r="B68" s="8"/>
      <c r="C68" s="9" t="s">
        <v>25</v>
      </c>
      <c r="D68" s="10" t="s">
        <v>75</v>
      </c>
      <c r="E68" s="11" t="s">
        <v>55</v>
      </c>
      <c r="F68" s="10" t="s">
        <v>33</v>
      </c>
      <c r="G68" s="10" t="s">
        <v>77</v>
      </c>
      <c r="H68" s="10" t="s">
        <v>78</v>
      </c>
      <c r="I68" s="10" t="s">
        <v>30</v>
      </c>
    </row>
    <row r="69" customFormat="false" ht="19.5" hidden="false" customHeight="true" outlineLevel="0" collapsed="false">
      <c r="A69" s="8"/>
      <c r="B69" s="8"/>
      <c r="C69" s="9"/>
      <c r="D69" s="9"/>
      <c r="E69" s="12" t="s">
        <v>59</v>
      </c>
      <c r="F69" s="8" t="s">
        <v>81</v>
      </c>
      <c r="G69" s="8" t="s">
        <v>77</v>
      </c>
      <c r="H69" s="8" t="s">
        <v>61</v>
      </c>
      <c r="I69" s="10"/>
    </row>
    <row r="70" customFormat="false" ht="19.5" hidden="false" customHeight="true" outlineLevel="0" collapsed="false">
      <c r="A70" s="8"/>
      <c r="B70" s="8"/>
      <c r="C70" s="9"/>
      <c r="D70" s="9"/>
      <c r="E70" s="12" t="s">
        <v>62</v>
      </c>
      <c r="F70" s="8" t="s">
        <v>146</v>
      </c>
      <c r="G70" s="8" t="s">
        <v>77</v>
      </c>
      <c r="H70" s="8" t="s">
        <v>58</v>
      </c>
      <c r="I70" s="10"/>
    </row>
    <row r="71" customFormat="false" ht="19.5" hidden="false" customHeight="true" outlineLevel="0" collapsed="false">
      <c r="A71" s="8"/>
      <c r="B71" s="8"/>
      <c r="C71" s="9"/>
      <c r="D71" s="9"/>
      <c r="E71" s="12" t="s">
        <v>82</v>
      </c>
      <c r="F71" s="8" t="s">
        <v>135</v>
      </c>
      <c r="G71" s="8" t="s">
        <v>77</v>
      </c>
      <c r="H71" s="8" t="s">
        <v>78</v>
      </c>
      <c r="I71" s="10"/>
    </row>
    <row r="72" customFormat="false" ht="48" hidden="false" customHeight="true" outlineLevel="0" collapsed="false">
      <c r="A72" s="8"/>
      <c r="B72" s="8"/>
      <c r="C72" s="9" t="s">
        <v>31</v>
      </c>
      <c r="D72" s="10" t="s">
        <v>147</v>
      </c>
      <c r="E72" s="11" t="s">
        <v>27</v>
      </c>
      <c r="F72" s="10" t="s">
        <v>48</v>
      </c>
      <c r="G72" s="10"/>
      <c r="H72" s="10" t="s">
        <v>34</v>
      </c>
      <c r="I72" s="10" t="s">
        <v>90</v>
      </c>
    </row>
    <row r="73" customFormat="false" ht="15" hidden="false" customHeight="false" outlineLevel="0" collapsed="false">
      <c r="A73" s="8"/>
      <c r="B73" s="8"/>
      <c r="C73" s="9" t="s">
        <v>36</v>
      </c>
      <c r="D73" s="10" t="s">
        <v>37</v>
      </c>
      <c r="E73" s="11"/>
      <c r="F73" s="10"/>
      <c r="G73" s="10"/>
      <c r="H73" s="10"/>
      <c r="I73" s="10" t="s">
        <v>38</v>
      </c>
    </row>
    <row r="74" customFormat="false" ht="35.05" hidden="false" customHeight="false" outlineLevel="0" collapsed="false">
      <c r="A74" s="5" t="s">
        <v>148</v>
      </c>
      <c r="B74" s="5" t="s">
        <v>149</v>
      </c>
      <c r="C74" s="5" t="s">
        <v>22</v>
      </c>
      <c r="D74" s="6" t="s">
        <v>23</v>
      </c>
      <c r="E74" s="7"/>
      <c r="F74" s="6"/>
      <c r="G74" s="6"/>
      <c r="H74" s="6"/>
      <c r="I74" s="6" t="s">
        <v>72</v>
      </c>
    </row>
    <row r="75" customFormat="false" ht="15.75" hidden="false" customHeight="true" outlineLevel="0" collapsed="false">
      <c r="A75" s="8"/>
      <c r="B75" s="8"/>
      <c r="C75" s="9" t="s">
        <v>25</v>
      </c>
      <c r="D75" s="10" t="s">
        <v>150</v>
      </c>
      <c r="E75" s="11" t="s">
        <v>55</v>
      </c>
      <c r="F75" s="10" t="s">
        <v>139</v>
      </c>
      <c r="G75" s="10" t="s">
        <v>140</v>
      </c>
      <c r="H75" s="10" t="s">
        <v>84</v>
      </c>
      <c r="I75" s="10" t="s">
        <v>151</v>
      </c>
    </row>
    <row r="76" customFormat="false" ht="15.75" hidden="false" customHeight="true" outlineLevel="0" collapsed="false">
      <c r="A76" s="8"/>
      <c r="B76" s="8"/>
      <c r="C76" s="9"/>
      <c r="D76" s="9"/>
      <c r="E76" s="12" t="s">
        <v>59</v>
      </c>
      <c r="F76" s="8" t="s">
        <v>152</v>
      </c>
      <c r="G76" s="8" t="s">
        <v>125</v>
      </c>
      <c r="H76" s="8" t="s">
        <v>58</v>
      </c>
      <c r="I76" s="10"/>
    </row>
    <row r="77" customFormat="false" ht="15.75" hidden="false" customHeight="true" outlineLevel="0" collapsed="false">
      <c r="A77" s="8"/>
      <c r="B77" s="8"/>
      <c r="C77" s="9"/>
      <c r="D77" s="9"/>
      <c r="E77" s="12" t="s">
        <v>62</v>
      </c>
      <c r="F77" s="8" t="s">
        <v>153</v>
      </c>
      <c r="G77" s="8" t="s">
        <v>57</v>
      </c>
      <c r="H77" s="8" t="s">
        <v>80</v>
      </c>
      <c r="I77" s="10"/>
    </row>
    <row r="78" customFormat="false" ht="15.75" hidden="false" customHeight="true" outlineLevel="0" collapsed="false">
      <c r="A78" s="8"/>
      <c r="B78" s="8"/>
      <c r="C78" s="9"/>
      <c r="D78" s="9"/>
      <c r="E78" s="12" t="s">
        <v>82</v>
      </c>
      <c r="F78" s="8" t="s">
        <v>154</v>
      </c>
      <c r="G78" s="8" t="s">
        <v>155</v>
      </c>
      <c r="H78" s="8" t="s">
        <v>156</v>
      </c>
      <c r="I78" s="10"/>
    </row>
    <row r="79" customFormat="false" ht="48" hidden="false" customHeight="true" outlineLevel="0" collapsed="false">
      <c r="A79" s="8"/>
      <c r="B79" s="8"/>
      <c r="C79" s="9" t="s">
        <v>31</v>
      </c>
      <c r="D79" s="10" t="s">
        <v>147</v>
      </c>
      <c r="E79" s="11" t="s">
        <v>27</v>
      </c>
      <c r="F79" s="10" t="s">
        <v>48</v>
      </c>
      <c r="G79" s="10"/>
      <c r="H79" s="10" t="s">
        <v>34</v>
      </c>
      <c r="I79" s="10" t="s">
        <v>90</v>
      </c>
    </row>
    <row r="80" customFormat="false" ht="15" hidden="false" customHeight="false" outlineLevel="0" collapsed="false">
      <c r="A80" s="8"/>
      <c r="B80" s="8"/>
      <c r="C80" s="9" t="s">
        <v>36</v>
      </c>
      <c r="D80" s="10" t="s">
        <v>37</v>
      </c>
      <c r="E80" s="11"/>
      <c r="F80" s="10"/>
      <c r="G80" s="10"/>
      <c r="H80" s="10"/>
      <c r="I80" s="10" t="s">
        <v>38</v>
      </c>
    </row>
    <row r="81" customFormat="false" ht="46.25" hidden="false" customHeight="false" outlineLevel="0" collapsed="false">
      <c r="A81" s="5" t="s">
        <v>157</v>
      </c>
      <c r="B81" s="5" t="s">
        <v>158</v>
      </c>
      <c r="C81" s="5" t="s">
        <v>22</v>
      </c>
      <c r="D81" s="6" t="s">
        <v>23</v>
      </c>
      <c r="E81" s="7"/>
      <c r="F81" s="6"/>
      <c r="G81" s="6"/>
      <c r="H81" s="6"/>
      <c r="I81" s="6" t="s">
        <v>72</v>
      </c>
    </row>
    <row r="82" customFormat="false" ht="24" hidden="false" customHeight="true" outlineLevel="0" collapsed="false">
      <c r="A82" s="8"/>
      <c r="B82" s="8"/>
      <c r="C82" s="9" t="s">
        <v>25</v>
      </c>
      <c r="D82" s="10" t="s">
        <v>159</v>
      </c>
      <c r="E82" s="11" t="s">
        <v>160</v>
      </c>
      <c r="F82" s="10" t="s">
        <v>76</v>
      </c>
      <c r="G82" s="10" t="s">
        <v>127</v>
      </c>
      <c r="H82" s="10" t="s">
        <v>161</v>
      </c>
      <c r="I82" s="10" t="s">
        <v>99</v>
      </c>
    </row>
    <row r="83" customFormat="false" ht="24" hidden="false" customHeight="true" outlineLevel="0" collapsed="false">
      <c r="A83" s="8"/>
      <c r="B83" s="8"/>
      <c r="C83" s="9"/>
      <c r="D83" s="9"/>
      <c r="E83" s="12" t="s">
        <v>162</v>
      </c>
      <c r="F83" s="8" t="s">
        <v>163</v>
      </c>
      <c r="G83" s="8" t="s">
        <v>107</v>
      </c>
      <c r="H83" s="8" t="s">
        <v>164</v>
      </c>
      <c r="I83" s="10"/>
    </row>
    <row r="84" customFormat="false" ht="24" hidden="false" customHeight="true" outlineLevel="0" collapsed="false">
      <c r="A84" s="8"/>
      <c r="B84" s="8"/>
      <c r="C84" s="9"/>
      <c r="D84" s="9"/>
      <c r="E84" s="12" t="s">
        <v>165</v>
      </c>
      <c r="F84" s="8" t="s">
        <v>81</v>
      </c>
      <c r="G84" s="8" t="s">
        <v>57</v>
      </c>
      <c r="H84" s="8" t="s">
        <v>143</v>
      </c>
      <c r="I84" s="10"/>
    </row>
    <row r="85" customFormat="false" ht="24" hidden="false" customHeight="true" outlineLevel="0" collapsed="false">
      <c r="A85" s="8"/>
      <c r="B85" s="8"/>
      <c r="C85" s="9"/>
      <c r="D85" s="9"/>
      <c r="E85" s="12" t="s">
        <v>166</v>
      </c>
      <c r="F85" s="8" t="s">
        <v>83</v>
      </c>
      <c r="G85" s="8" t="s">
        <v>110</v>
      </c>
      <c r="H85" s="8" t="s">
        <v>142</v>
      </c>
      <c r="I85" s="10"/>
    </row>
    <row r="86" customFormat="false" ht="48" hidden="false" customHeight="true" outlineLevel="0" collapsed="false">
      <c r="A86" s="8"/>
      <c r="B86" s="8"/>
      <c r="C86" s="9" t="s">
        <v>31</v>
      </c>
      <c r="D86" s="10" t="s">
        <v>85</v>
      </c>
      <c r="E86" s="11" t="s">
        <v>86</v>
      </c>
      <c r="F86" s="10" t="s">
        <v>106</v>
      </c>
      <c r="G86" s="10" t="s">
        <v>107</v>
      </c>
      <c r="H86" s="10" t="s">
        <v>167</v>
      </c>
      <c r="I86" s="10" t="s">
        <v>90</v>
      </c>
    </row>
    <row r="87" customFormat="false" ht="48" hidden="false" customHeight="true" outlineLevel="0" collapsed="false">
      <c r="A87" s="8"/>
      <c r="B87" s="8"/>
      <c r="C87" s="9"/>
      <c r="D87" s="9"/>
      <c r="E87" s="12" t="s">
        <v>91</v>
      </c>
      <c r="F87" s="8" t="s">
        <v>120</v>
      </c>
      <c r="G87" s="8" t="s">
        <v>57</v>
      </c>
      <c r="H87" s="8" t="s">
        <v>168</v>
      </c>
      <c r="I87" s="10"/>
    </row>
    <row r="88" customFormat="false" ht="15" hidden="false" customHeight="false" outlineLevel="0" collapsed="false">
      <c r="A88" s="8"/>
      <c r="B88" s="8"/>
      <c r="C88" s="9" t="s">
        <v>36</v>
      </c>
      <c r="D88" s="10" t="s">
        <v>37</v>
      </c>
      <c r="E88" s="11"/>
      <c r="F88" s="10"/>
      <c r="G88" s="10"/>
      <c r="H88" s="10"/>
      <c r="I88" s="10" t="s">
        <v>38</v>
      </c>
    </row>
    <row r="89" customFormat="false" ht="35.05" hidden="false" customHeight="false" outlineLevel="0" collapsed="false">
      <c r="A89" s="5" t="s">
        <v>169</v>
      </c>
      <c r="B89" s="5" t="s">
        <v>170</v>
      </c>
      <c r="C89" s="5" t="s">
        <v>22</v>
      </c>
      <c r="D89" s="6" t="s">
        <v>23</v>
      </c>
      <c r="E89" s="7"/>
      <c r="F89" s="6"/>
      <c r="G89" s="6"/>
      <c r="H89" s="6"/>
      <c r="I89" s="6" t="s">
        <v>24</v>
      </c>
    </row>
    <row r="90" customFormat="false" ht="15" hidden="false" customHeight="true" outlineLevel="0" collapsed="false">
      <c r="A90" s="8"/>
      <c r="B90" s="8"/>
      <c r="C90" s="9" t="s">
        <v>25</v>
      </c>
      <c r="D90" s="10" t="s">
        <v>171</v>
      </c>
      <c r="E90" s="11" t="s">
        <v>172</v>
      </c>
      <c r="F90" s="10" t="s">
        <v>173</v>
      </c>
      <c r="G90" s="10" t="s">
        <v>174</v>
      </c>
      <c r="H90" s="10" t="s">
        <v>175</v>
      </c>
      <c r="I90" s="10" t="s">
        <v>176</v>
      </c>
    </row>
    <row r="91" customFormat="false" ht="15" hidden="false" customHeight="false" outlineLevel="0" collapsed="false">
      <c r="A91" s="8"/>
      <c r="B91" s="8"/>
      <c r="C91" s="9"/>
      <c r="D91" s="9"/>
      <c r="E91" s="12" t="s">
        <v>177</v>
      </c>
      <c r="F91" s="8" t="s">
        <v>106</v>
      </c>
      <c r="G91" s="8" t="s">
        <v>140</v>
      </c>
      <c r="H91" s="8" t="s">
        <v>178</v>
      </c>
      <c r="I91" s="10"/>
    </row>
    <row r="92" customFormat="false" ht="15" hidden="false" customHeight="false" outlineLevel="0" collapsed="false">
      <c r="A92" s="8"/>
      <c r="B92" s="8"/>
      <c r="C92" s="9"/>
      <c r="D92" s="9"/>
      <c r="E92" s="12" t="s">
        <v>179</v>
      </c>
      <c r="F92" s="8" t="s">
        <v>180</v>
      </c>
      <c r="G92" s="8" t="s">
        <v>155</v>
      </c>
      <c r="H92" s="8" t="s">
        <v>181</v>
      </c>
      <c r="I92" s="10"/>
    </row>
    <row r="93" customFormat="false" ht="15" hidden="false" customHeight="false" outlineLevel="0" collapsed="false">
      <c r="A93" s="8"/>
      <c r="B93" s="8"/>
      <c r="C93" s="9"/>
      <c r="D93" s="9"/>
      <c r="E93" s="12" t="s">
        <v>182</v>
      </c>
      <c r="F93" s="8" t="s">
        <v>76</v>
      </c>
      <c r="G93" s="8" t="s">
        <v>183</v>
      </c>
      <c r="H93" s="8" t="s">
        <v>184</v>
      </c>
      <c r="I93" s="10"/>
    </row>
    <row r="94" customFormat="false" ht="15" hidden="false" customHeight="false" outlineLevel="0" collapsed="false">
      <c r="A94" s="8"/>
      <c r="B94" s="8"/>
      <c r="C94" s="9"/>
      <c r="D94" s="9"/>
      <c r="E94" s="12" t="s">
        <v>185</v>
      </c>
      <c r="F94" s="8" t="s">
        <v>152</v>
      </c>
      <c r="G94" s="8" t="s">
        <v>125</v>
      </c>
      <c r="H94" s="8" t="s">
        <v>58</v>
      </c>
      <c r="I94" s="10"/>
    </row>
    <row r="95" customFormat="false" ht="15" hidden="false" customHeight="false" outlineLevel="0" collapsed="false">
      <c r="A95" s="8"/>
      <c r="B95" s="8"/>
      <c r="C95" s="9"/>
      <c r="D95" s="9"/>
      <c r="E95" s="12" t="s">
        <v>186</v>
      </c>
      <c r="F95" s="8" t="s">
        <v>139</v>
      </c>
      <c r="G95" s="8" t="s">
        <v>108</v>
      </c>
      <c r="H95" s="8" t="s">
        <v>178</v>
      </c>
      <c r="I95" s="10"/>
    </row>
    <row r="96" customFormat="false" ht="21" hidden="false" customHeight="true" outlineLevel="0" collapsed="false">
      <c r="A96" s="8"/>
      <c r="B96" s="8"/>
      <c r="C96" s="9" t="s">
        <v>31</v>
      </c>
      <c r="D96" s="10" t="s">
        <v>187</v>
      </c>
      <c r="E96" s="11" t="s">
        <v>55</v>
      </c>
      <c r="F96" s="10" t="s">
        <v>188</v>
      </c>
      <c r="G96" s="10" t="s">
        <v>108</v>
      </c>
      <c r="H96" s="10" t="s">
        <v>61</v>
      </c>
      <c r="I96" s="10" t="s">
        <v>189</v>
      </c>
    </row>
    <row r="97" customFormat="false" ht="21" hidden="false" customHeight="true" outlineLevel="0" collapsed="false">
      <c r="A97" s="8"/>
      <c r="B97" s="8"/>
      <c r="C97" s="9"/>
      <c r="D97" s="9"/>
      <c r="E97" s="12" t="s">
        <v>59</v>
      </c>
      <c r="F97" s="8" t="s">
        <v>109</v>
      </c>
      <c r="G97" s="8" t="s">
        <v>110</v>
      </c>
      <c r="H97" s="8" t="s">
        <v>178</v>
      </c>
      <c r="I97" s="10"/>
    </row>
    <row r="98" customFormat="false" ht="21" hidden="false" customHeight="true" outlineLevel="0" collapsed="false">
      <c r="A98" s="8"/>
      <c r="B98" s="8"/>
      <c r="C98" s="9"/>
      <c r="D98" s="9"/>
      <c r="E98" s="12" t="s">
        <v>62</v>
      </c>
      <c r="F98" s="8" t="s">
        <v>190</v>
      </c>
      <c r="G98" s="8" t="s">
        <v>140</v>
      </c>
      <c r="H98" s="8" t="s">
        <v>61</v>
      </c>
      <c r="I98" s="10"/>
    </row>
    <row r="99" customFormat="false" ht="15" hidden="false" customHeight="false" outlineLevel="0" collapsed="false">
      <c r="A99" s="8"/>
      <c r="B99" s="8"/>
      <c r="C99" s="9" t="s">
        <v>36</v>
      </c>
      <c r="D99" s="10" t="s">
        <v>37</v>
      </c>
      <c r="E99" s="11"/>
      <c r="F99" s="10"/>
      <c r="G99" s="10"/>
      <c r="H99" s="10"/>
      <c r="I99" s="10" t="s">
        <v>38</v>
      </c>
    </row>
    <row r="100" customFormat="false" ht="35.05" hidden="false" customHeight="false" outlineLevel="0" collapsed="false">
      <c r="A100" s="5" t="s">
        <v>191</v>
      </c>
      <c r="B100" s="5" t="s">
        <v>192</v>
      </c>
      <c r="C100" s="5" t="s">
        <v>22</v>
      </c>
      <c r="D100" s="6" t="s">
        <v>23</v>
      </c>
      <c r="E100" s="7"/>
      <c r="F100" s="6"/>
      <c r="G100" s="6"/>
      <c r="H100" s="6"/>
      <c r="I100" s="6" t="s">
        <v>24</v>
      </c>
    </row>
    <row r="101" customFormat="false" ht="15" hidden="false" customHeight="true" outlineLevel="0" collapsed="false">
      <c r="A101" s="8"/>
      <c r="B101" s="8"/>
      <c r="C101" s="9" t="s">
        <v>25</v>
      </c>
      <c r="D101" s="10" t="s">
        <v>171</v>
      </c>
      <c r="E101" s="11" t="s">
        <v>172</v>
      </c>
      <c r="F101" s="10" t="s">
        <v>173</v>
      </c>
      <c r="G101" s="10" t="s">
        <v>174</v>
      </c>
      <c r="H101" s="10" t="s">
        <v>175</v>
      </c>
      <c r="I101" s="10" t="s">
        <v>30</v>
      </c>
    </row>
    <row r="102" customFormat="false" ht="15" hidden="false" customHeight="false" outlineLevel="0" collapsed="false">
      <c r="A102" s="8"/>
      <c r="B102" s="8"/>
      <c r="C102" s="9"/>
      <c r="D102" s="9"/>
      <c r="E102" s="12" t="s">
        <v>177</v>
      </c>
      <c r="F102" s="8" t="s">
        <v>87</v>
      </c>
      <c r="G102" s="8" t="s">
        <v>88</v>
      </c>
      <c r="H102" s="8" t="s">
        <v>65</v>
      </c>
      <c r="I102" s="10"/>
    </row>
    <row r="103" customFormat="false" ht="15" hidden="false" customHeight="false" outlineLevel="0" collapsed="false">
      <c r="A103" s="8"/>
      <c r="B103" s="8"/>
      <c r="C103" s="9"/>
      <c r="D103" s="9"/>
      <c r="E103" s="12" t="s">
        <v>179</v>
      </c>
      <c r="F103" s="8" t="s">
        <v>180</v>
      </c>
      <c r="G103" s="8" t="s">
        <v>155</v>
      </c>
      <c r="H103" s="8" t="s">
        <v>181</v>
      </c>
      <c r="I103" s="10"/>
    </row>
    <row r="104" customFormat="false" ht="15" hidden="false" customHeight="false" outlineLevel="0" collapsed="false">
      <c r="A104" s="8"/>
      <c r="B104" s="8"/>
      <c r="C104" s="9"/>
      <c r="D104" s="9"/>
      <c r="E104" s="12" t="s">
        <v>182</v>
      </c>
      <c r="F104" s="8" t="s">
        <v>111</v>
      </c>
      <c r="G104" s="8" t="s">
        <v>57</v>
      </c>
      <c r="H104" s="8" t="s">
        <v>58</v>
      </c>
      <c r="I104" s="10"/>
    </row>
    <row r="105" customFormat="false" ht="15" hidden="false" customHeight="false" outlineLevel="0" collapsed="false">
      <c r="A105" s="8"/>
      <c r="B105" s="8"/>
      <c r="C105" s="9"/>
      <c r="D105" s="9"/>
      <c r="E105" s="12" t="s">
        <v>185</v>
      </c>
      <c r="F105" s="8" t="s">
        <v>106</v>
      </c>
      <c r="G105" s="8" t="s">
        <v>140</v>
      </c>
      <c r="H105" s="8" t="s">
        <v>178</v>
      </c>
      <c r="I105" s="10"/>
    </row>
    <row r="106" customFormat="false" ht="15" hidden="false" customHeight="false" outlineLevel="0" collapsed="false">
      <c r="A106" s="8"/>
      <c r="B106" s="8"/>
      <c r="C106" s="9"/>
      <c r="D106" s="9"/>
      <c r="E106" s="12" t="s">
        <v>186</v>
      </c>
      <c r="F106" s="8" t="s">
        <v>124</v>
      </c>
      <c r="G106" s="8" t="s">
        <v>193</v>
      </c>
      <c r="H106" s="8" t="s">
        <v>178</v>
      </c>
      <c r="I106" s="10"/>
    </row>
    <row r="107" customFormat="false" ht="21" hidden="false" customHeight="true" outlineLevel="0" collapsed="false">
      <c r="A107" s="8"/>
      <c r="B107" s="8"/>
      <c r="C107" s="9" t="s">
        <v>31</v>
      </c>
      <c r="D107" s="10" t="s">
        <v>187</v>
      </c>
      <c r="E107" s="11" t="s">
        <v>55</v>
      </c>
      <c r="F107" s="10" t="s">
        <v>81</v>
      </c>
      <c r="G107" s="10" t="s">
        <v>108</v>
      </c>
      <c r="H107" s="10" t="s">
        <v>61</v>
      </c>
      <c r="I107" s="10" t="s">
        <v>189</v>
      </c>
    </row>
    <row r="108" customFormat="false" ht="21" hidden="false" customHeight="true" outlineLevel="0" collapsed="false">
      <c r="A108" s="8"/>
      <c r="B108" s="8"/>
      <c r="C108" s="9"/>
      <c r="D108" s="9"/>
      <c r="E108" s="12" t="s">
        <v>59</v>
      </c>
      <c r="F108" s="8" t="s">
        <v>76</v>
      </c>
      <c r="G108" s="8" t="s">
        <v>57</v>
      </c>
      <c r="H108" s="8" t="s">
        <v>184</v>
      </c>
      <c r="I108" s="10"/>
    </row>
    <row r="109" customFormat="false" ht="21" hidden="false" customHeight="true" outlineLevel="0" collapsed="false">
      <c r="A109" s="8"/>
      <c r="B109" s="8"/>
      <c r="C109" s="9"/>
      <c r="D109" s="9"/>
      <c r="E109" s="12" t="s">
        <v>62</v>
      </c>
      <c r="F109" s="8" t="s">
        <v>113</v>
      </c>
      <c r="G109" s="8" t="s">
        <v>110</v>
      </c>
      <c r="H109" s="8" t="s">
        <v>61</v>
      </c>
      <c r="I109" s="10"/>
    </row>
    <row r="110" customFormat="false" ht="15" hidden="false" customHeight="false" outlineLevel="0" collapsed="false">
      <c r="A110" s="8"/>
      <c r="B110" s="8"/>
      <c r="C110" s="9" t="s">
        <v>36</v>
      </c>
      <c r="D110" s="10" t="s">
        <v>37</v>
      </c>
      <c r="E110" s="11"/>
      <c r="F110" s="10"/>
      <c r="G110" s="10"/>
      <c r="H110" s="10"/>
      <c r="I110" s="10" t="s">
        <v>38</v>
      </c>
    </row>
    <row r="111" customFormat="false" ht="35.05" hidden="false" customHeight="false" outlineLevel="0" collapsed="false">
      <c r="A111" s="5" t="s">
        <v>194</v>
      </c>
      <c r="B111" s="5" t="s">
        <v>195</v>
      </c>
      <c r="C111" s="5" t="s">
        <v>22</v>
      </c>
      <c r="D111" s="6" t="s">
        <v>23</v>
      </c>
      <c r="E111" s="7"/>
      <c r="F111" s="6"/>
      <c r="G111" s="6"/>
      <c r="H111" s="6"/>
      <c r="I111" s="6" t="s">
        <v>24</v>
      </c>
    </row>
    <row r="112" customFormat="false" ht="15" hidden="false" customHeight="true" outlineLevel="0" collapsed="false">
      <c r="A112" s="8"/>
      <c r="B112" s="8"/>
      <c r="C112" s="9" t="s">
        <v>25</v>
      </c>
      <c r="D112" s="10" t="s">
        <v>196</v>
      </c>
      <c r="E112" s="11" t="s">
        <v>172</v>
      </c>
      <c r="F112" s="10" t="s">
        <v>42</v>
      </c>
      <c r="G112" s="10" t="s">
        <v>197</v>
      </c>
      <c r="H112" s="10" t="s">
        <v>175</v>
      </c>
      <c r="I112" s="10" t="s">
        <v>151</v>
      </c>
    </row>
    <row r="113" customFormat="false" ht="15" hidden="false" customHeight="false" outlineLevel="0" collapsed="false">
      <c r="A113" s="8"/>
      <c r="B113" s="8"/>
      <c r="C113" s="9"/>
      <c r="D113" s="9"/>
      <c r="E113" s="12" t="s">
        <v>177</v>
      </c>
      <c r="F113" s="8" t="s">
        <v>198</v>
      </c>
      <c r="G113" s="8" t="s">
        <v>57</v>
      </c>
      <c r="H113" s="8" t="s">
        <v>58</v>
      </c>
      <c r="I113" s="10"/>
    </row>
    <row r="114" customFormat="false" ht="15" hidden="false" customHeight="false" outlineLevel="0" collapsed="false">
      <c r="A114" s="8"/>
      <c r="B114" s="8"/>
      <c r="C114" s="9"/>
      <c r="D114" s="9"/>
      <c r="E114" s="12" t="s">
        <v>179</v>
      </c>
      <c r="F114" s="8" t="s">
        <v>199</v>
      </c>
      <c r="G114" s="8" t="s">
        <v>125</v>
      </c>
      <c r="H114" s="8" t="s">
        <v>58</v>
      </c>
      <c r="I114" s="10"/>
    </row>
    <row r="115" customFormat="false" ht="15" hidden="false" customHeight="false" outlineLevel="0" collapsed="false">
      <c r="A115" s="8"/>
      <c r="B115" s="8"/>
      <c r="C115" s="9"/>
      <c r="D115" s="9"/>
      <c r="E115" s="12" t="s">
        <v>182</v>
      </c>
      <c r="F115" s="8" t="s">
        <v>200</v>
      </c>
      <c r="G115" s="8" t="s">
        <v>125</v>
      </c>
      <c r="H115" s="8" t="s">
        <v>80</v>
      </c>
      <c r="I115" s="10"/>
    </row>
    <row r="116" customFormat="false" ht="15" hidden="false" customHeight="false" outlineLevel="0" collapsed="false">
      <c r="A116" s="8"/>
      <c r="B116" s="8"/>
      <c r="C116" s="9"/>
      <c r="D116" s="9"/>
      <c r="E116" s="12" t="s">
        <v>185</v>
      </c>
      <c r="F116" s="8" t="s">
        <v>201</v>
      </c>
      <c r="G116" s="8" t="s">
        <v>183</v>
      </c>
      <c r="H116" s="8" t="s">
        <v>61</v>
      </c>
      <c r="I116" s="10"/>
    </row>
    <row r="117" customFormat="false" ht="15" hidden="false" customHeight="false" outlineLevel="0" collapsed="false">
      <c r="A117" s="8"/>
      <c r="B117" s="8"/>
      <c r="C117" s="9"/>
      <c r="D117" s="9"/>
      <c r="E117" s="12" t="s">
        <v>186</v>
      </c>
      <c r="F117" s="8" t="s">
        <v>202</v>
      </c>
      <c r="G117" s="8" t="s">
        <v>88</v>
      </c>
      <c r="H117" s="8" t="s">
        <v>203</v>
      </c>
      <c r="I117" s="10"/>
    </row>
    <row r="118" customFormat="false" ht="21" hidden="false" customHeight="true" outlineLevel="0" collapsed="false">
      <c r="A118" s="8"/>
      <c r="B118" s="8"/>
      <c r="C118" s="9" t="s">
        <v>31</v>
      </c>
      <c r="D118" s="10" t="s">
        <v>187</v>
      </c>
      <c r="E118" s="11" t="s">
        <v>55</v>
      </c>
      <c r="F118" s="10" t="s">
        <v>204</v>
      </c>
      <c r="G118" s="10" t="s">
        <v>125</v>
      </c>
      <c r="H118" s="10" t="s">
        <v>58</v>
      </c>
      <c r="I118" s="10" t="s">
        <v>189</v>
      </c>
    </row>
    <row r="119" customFormat="false" ht="21" hidden="false" customHeight="true" outlineLevel="0" collapsed="false">
      <c r="A119" s="8"/>
      <c r="B119" s="8"/>
      <c r="C119" s="9"/>
      <c r="D119" s="9"/>
      <c r="E119" s="12" t="s">
        <v>59</v>
      </c>
      <c r="F119" s="8" t="s">
        <v>117</v>
      </c>
      <c r="G119" s="8" t="s">
        <v>108</v>
      </c>
      <c r="H119" s="8" t="s">
        <v>178</v>
      </c>
      <c r="I119" s="10"/>
    </row>
    <row r="120" customFormat="false" ht="21" hidden="false" customHeight="true" outlineLevel="0" collapsed="false">
      <c r="A120" s="8"/>
      <c r="B120" s="8"/>
      <c r="C120" s="9"/>
      <c r="D120" s="9"/>
      <c r="E120" s="12" t="s">
        <v>62</v>
      </c>
      <c r="F120" s="8" t="s">
        <v>190</v>
      </c>
      <c r="G120" s="8" t="s">
        <v>140</v>
      </c>
      <c r="H120" s="8" t="s">
        <v>61</v>
      </c>
      <c r="I120" s="10"/>
    </row>
    <row r="121" customFormat="false" ht="15" hidden="false" customHeight="false" outlineLevel="0" collapsed="false">
      <c r="A121" s="8"/>
      <c r="B121" s="8"/>
      <c r="C121" s="9" t="s">
        <v>36</v>
      </c>
      <c r="D121" s="10" t="s">
        <v>37</v>
      </c>
      <c r="E121" s="11"/>
      <c r="F121" s="10"/>
      <c r="G121" s="10"/>
      <c r="H121" s="10"/>
      <c r="I121" s="10" t="s">
        <v>38</v>
      </c>
    </row>
    <row r="122" customFormat="false" ht="23.85" hidden="false" customHeight="false" outlineLevel="0" collapsed="false">
      <c r="A122" s="5" t="s">
        <v>205</v>
      </c>
      <c r="B122" s="5" t="s">
        <v>206</v>
      </c>
      <c r="C122" s="5" t="s">
        <v>22</v>
      </c>
      <c r="D122" s="6" t="s">
        <v>23</v>
      </c>
      <c r="E122" s="7"/>
      <c r="F122" s="6"/>
      <c r="G122" s="6"/>
      <c r="H122" s="6"/>
      <c r="I122" s="6" t="s">
        <v>24</v>
      </c>
    </row>
    <row r="123" customFormat="false" ht="15" hidden="false" customHeight="true" outlineLevel="0" collapsed="false">
      <c r="A123" s="8"/>
      <c r="B123" s="8"/>
      <c r="C123" s="9" t="s">
        <v>25</v>
      </c>
      <c r="D123" s="10" t="s">
        <v>207</v>
      </c>
      <c r="E123" s="11" t="s">
        <v>172</v>
      </c>
      <c r="F123" s="10" t="s">
        <v>42</v>
      </c>
      <c r="G123" s="10" t="s">
        <v>208</v>
      </c>
      <c r="H123" s="10" t="s">
        <v>209</v>
      </c>
      <c r="I123" s="10" t="s">
        <v>118</v>
      </c>
    </row>
    <row r="124" customFormat="false" ht="15" hidden="false" customHeight="false" outlineLevel="0" collapsed="false">
      <c r="A124" s="8"/>
      <c r="B124" s="8"/>
      <c r="C124" s="9"/>
      <c r="D124" s="9"/>
      <c r="E124" s="12" t="s">
        <v>177</v>
      </c>
      <c r="F124" s="8" t="s">
        <v>79</v>
      </c>
      <c r="G124" s="8" t="s">
        <v>193</v>
      </c>
      <c r="H124" s="8" t="s">
        <v>80</v>
      </c>
      <c r="I124" s="10"/>
    </row>
    <row r="125" customFormat="false" ht="15" hidden="false" customHeight="false" outlineLevel="0" collapsed="false">
      <c r="A125" s="8"/>
      <c r="B125" s="8"/>
      <c r="C125" s="9"/>
      <c r="D125" s="9"/>
      <c r="E125" s="12" t="s">
        <v>179</v>
      </c>
      <c r="F125" s="8" t="s">
        <v>121</v>
      </c>
      <c r="G125" s="8" t="s">
        <v>57</v>
      </c>
      <c r="H125" s="8" t="s">
        <v>78</v>
      </c>
      <c r="I125" s="10"/>
    </row>
    <row r="126" customFormat="false" ht="15" hidden="false" customHeight="false" outlineLevel="0" collapsed="false">
      <c r="A126" s="8"/>
      <c r="B126" s="8"/>
      <c r="C126" s="9"/>
      <c r="D126" s="9"/>
      <c r="E126" s="12" t="s">
        <v>182</v>
      </c>
      <c r="F126" s="8" t="s">
        <v>124</v>
      </c>
      <c r="G126" s="8" t="s">
        <v>193</v>
      </c>
      <c r="H126" s="8" t="s">
        <v>84</v>
      </c>
      <c r="I126" s="10"/>
    </row>
    <row r="127" customFormat="false" ht="15" hidden="false" customHeight="false" outlineLevel="0" collapsed="false">
      <c r="A127" s="8"/>
      <c r="B127" s="8"/>
      <c r="C127" s="9"/>
      <c r="D127" s="9"/>
      <c r="E127" s="12" t="s">
        <v>185</v>
      </c>
      <c r="F127" s="8" t="s">
        <v>163</v>
      </c>
      <c r="G127" s="8" t="s">
        <v>140</v>
      </c>
      <c r="H127" s="8" t="s">
        <v>58</v>
      </c>
      <c r="I127" s="10"/>
    </row>
    <row r="128" customFormat="false" ht="15" hidden="false" customHeight="false" outlineLevel="0" collapsed="false">
      <c r="A128" s="8"/>
      <c r="B128" s="8"/>
      <c r="C128" s="9"/>
      <c r="D128" s="9"/>
      <c r="E128" s="12" t="s">
        <v>186</v>
      </c>
      <c r="F128" s="8" t="s">
        <v>139</v>
      </c>
      <c r="G128" s="8" t="s">
        <v>108</v>
      </c>
      <c r="H128" s="8" t="s">
        <v>84</v>
      </c>
      <c r="I128" s="10"/>
    </row>
    <row r="129" customFormat="false" ht="15" hidden="false" customHeight="false" outlineLevel="0" collapsed="false">
      <c r="A129" s="8"/>
      <c r="B129" s="8"/>
      <c r="C129" s="9"/>
      <c r="D129" s="9"/>
      <c r="E129" s="12" t="s">
        <v>210</v>
      </c>
      <c r="F129" s="8" t="s">
        <v>79</v>
      </c>
      <c r="G129" s="8" t="s">
        <v>193</v>
      </c>
      <c r="H129" s="8" t="s">
        <v>80</v>
      </c>
      <c r="I129" s="10"/>
    </row>
    <row r="130" customFormat="false" ht="21" hidden="false" customHeight="true" outlineLevel="0" collapsed="false">
      <c r="A130" s="8"/>
      <c r="B130" s="8"/>
      <c r="C130" s="9" t="s">
        <v>31</v>
      </c>
      <c r="D130" s="10" t="s">
        <v>211</v>
      </c>
      <c r="E130" s="11" t="s">
        <v>55</v>
      </c>
      <c r="F130" s="10" t="s">
        <v>120</v>
      </c>
      <c r="G130" s="10" t="s">
        <v>57</v>
      </c>
      <c r="H130" s="10" t="s">
        <v>58</v>
      </c>
      <c r="I130" s="10" t="s">
        <v>35</v>
      </c>
    </row>
    <row r="131" customFormat="false" ht="21" hidden="false" customHeight="true" outlineLevel="0" collapsed="false">
      <c r="A131" s="8"/>
      <c r="B131" s="8"/>
      <c r="C131" s="9"/>
      <c r="D131" s="9"/>
      <c r="E131" s="12" t="s">
        <v>59</v>
      </c>
      <c r="F131" s="8" t="s">
        <v>117</v>
      </c>
      <c r="G131" s="8" t="s">
        <v>108</v>
      </c>
      <c r="H131" s="8" t="s">
        <v>84</v>
      </c>
      <c r="I131" s="10"/>
    </row>
    <row r="132" customFormat="false" ht="21" hidden="false" customHeight="true" outlineLevel="0" collapsed="false">
      <c r="A132" s="8"/>
      <c r="B132" s="8"/>
      <c r="C132" s="9"/>
      <c r="D132" s="9"/>
      <c r="E132" s="12" t="s">
        <v>62</v>
      </c>
      <c r="F132" s="8" t="s">
        <v>212</v>
      </c>
      <c r="G132" s="8" t="s">
        <v>125</v>
      </c>
      <c r="H132" s="8" t="s">
        <v>61</v>
      </c>
      <c r="I132" s="10"/>
    </row>
    <row r="133" customFormat="false" ht="24" hidden="false" customHeight="true" outlineLevel="0" collapsed="false">
      <c r="A133" s="8"/>
      <c r="B133" s="8"/>
      <c r="C133" s="9" t="s">
        <v>129</v>
      </c>
      <c r="D133" s="10" t="s">
        <v>130</v>
      </c>
      <c r="E133" s="11" t="s">
        <v>131</v>
      </c>
      <c r="F133" s="10" t="s">
        <v>33</v>
      </c>
      <c r="G133" s="10" t="s">
        <v>132</v>
      </c>
      <c r="H133" s="10" t="s">
        <v>133</v>
      </c>
      <c r="I133" s="10" t="s">
        <v>46</v>
      </c>
    </row>
    <row r="134" customFormat="false" ht="24" hidden="false" customHeight="true" outlineLevel="0" collapsed="false">
      <c r="A134" s="8"/>
      <c r="B134" s="8"/>
      <c r="C134" s="9"/>
      <c r="D134" s="9"/>
      <c r="E134" s="12" t="s">
        <v>134</v>
      </c>
      <c r="F134" s="8" t="s">
        <v>135</v>
      </c>
      <c r="G134" s="8" t="s">
        <v>132</v>
      </c>
      <c r="H134" s="8" t="s">
        <v>133</v>
      </c>
      <c r="I134" s="10"/>
    </row>
    <row r="135" customFormat="false" ht="15" hidden="false" customHeight="false" outlineLevel="0" collapsed="false">
      <c r="A135" s="8"/>
      <c r="B135" s="8"/>
      <c r="C135" s="9" t="s">
        <v>36</v>
      </c>
      <c r="D135" s="10" t="s">
        <v>37</v>
      </c>
      <c r="E135" s="11"/>
      <c r="F135" s="10"/>
      <c r="G135" s="10"/>
      <c r="H135" s="10"/>
      <c r="I135" s="10" t="s">
        <v>38</v>
      </c>
    </row>
    <row r="136" customFormat="false" ht="23.85" hidden="false" customHeight="false" outlineLevel="0" collapsed="false">
      <c r="A136" s="5" t="s">
        <v>213</v>
      </c>
      <c r="B136" s="5" t="s">
        <v>214</v>
      </c>
      <c r="C136" s="5" t="s">
        <v>22</v>
      </c>
      <c r="D136" s="6" t="s">
        <v>23</v>
      </c>
      <c r="E136" s="7"/>
      <c r="F136" s="6"/>
      <c r="G136" s="6"/>
      <c r="H136" s="6"/>
      <c r="I136" s="6" t="s">
        <v>24</v>
      </c>
    </row>
    <row r="137" customFormat="false" ht="15" hidden="false" customHeight="true" outlineLevel="0" collapsed="false">
      <c r="A137" s="8"/>
      <c r="B137" s="8"/>
      <c r="C137" s="9" t="s">
        <v>25</v>
      </c>
      <c r="D137" s="10" t="s">
        <v>215</v>
      </c>
      <c r="E137" s="11" t="s">
        <v>172</v>
      </c>
      <c r="F137" s="10" t="s">
        <v>42</v>
      </c>
      <c r="G137" s="10" t="s">
        <v>197</v>
      </c>
      <c r="H137" s="10" t="s">
        <v>209</v>
      </c>
      <c r="I137" s="10" t="s">
        <v>99</v>
      </c>
    </row>
    <row r="138" customFormat="false" ht="15" hidden="false" customHeight="false" outlineLevel="0" collapsed="false">
      <c r="A138" s="8"/>
      <c r="B138" s="8"/>
      <c r="C138" s="9"/>
      <c r="D138" s="9"/>
      <c r="E138" s="12" t="s">
        <v>177</v>
      </c>
      <c r="F138" s="8" t="s">
        <v>139</v>
      </c>
      <c r="G138" s="8" t="s">
        <v>108</v>
      </c>
      <c r="H138" s="8" t="s">
        <v>84</v>
      </c>
      <c r="I138" s="10"/>
    </row>
    <row r="139" customFormat="false" ht="15" hidden="false" customHeight="false" outlineLevel="0" collapsed="false">
      <c r="A139" s="8"/>
      <c r="B139" s="8"/>
      <c r="C139" s="9"/>
      <c r="D139" s="9"/>
      <c r="E139" s="12" t="s">
        <v>179</v>
      </c>
      <c r="F139" s="8" t="s">
        <v>121</v>
      </c>
      <c r="G139" s="8" t="s">
        <v>57</v>
      </c>
      <c r="H139" s="8" t="s">
        <v>78</v>
      </c>
      <c r="I139" s="10"/>
    </row>
    <row r="140" customFormat="false" ht="15" hidden="false" customHeight="false" outlineLevel="0" collapsed="false">
      <c r="A140" s="8"/>
      <c r="B140" s="8"/>
      <c r="C140" s="9"/>
      <c r="D140" s="9"/>
      <c r="E140" s="12" t="s">
        <v>182</v>
      </c>
      <c r="F140" s="8" t="s">
        <v>92</v>
      </c>
      <c r="G140" s="8" t="s">
        <v>183</v>
      </c>
      <c r="H140" s="8" t="s">
        <v>80</v>
      </c>
      <c r="I140" s="10"/>
    </row>
    <row r="141" customFormat="false" ht="15" hidden="false" customHeight="false" outlineLevel="0" collapsed="false">
      <c r="A141" s="8"/>
      <c r="B141" s="8"/>
      <c r="C141" s="9"/>
      <c r="D141" s="9"/>
      <c r="E141" s="12" t="s">
        <v>185</v>
      </c>
      <c r="F141" s="8" t="s">
        <v>117</v>
      </c>
      <c r="G141" s="8" t="s">
        <v>57</v>
      </c>
      <c r="H141" s="8" t="s">
        <v>84</v>
      </c>
      <c r="I141" s="10"/>
    </row>
    <row r="142" customFormat="false" ht="15" hidden="false" customHeight="false" outlineLevel="0" collapsed="false">
      <c r="A142" s="8"/>
      <c r="B142" s="8"/>
      <c r="C142" s="9"/>
      <c r="D142" s="9"/>
      <c r="E142" s="12" t="s">
        <v>186</v>
      </c>
      <c r="F142" s="8" t="s">
        <v>87</v>
      </c>
      <c r="G142" s="8" t="s">
        <v>88</v>
      </c>
      <c r="H142" s="8" t="s">
        <v>65</v>
      </c>
      <c r="I142" s="10"/>
    </row>
    <row r="143" customFormat="false" ht="21" hidden="false" customHeight="true" outlineLevel="0" collapsed="false">
      <c r="A143" s="8"/>
      <c r="B143" s="8"/>
      <c r="C143" s="9" t="s">
        <v>31</v>
      </c>
      <c r="D143" s="10" t="s">
        <v>211</v>
      </c>
      <c r="E143" s="11" t="s">
        <v>55</v>
      </c>
      <c r="F143" s="10" t="s">
        <v>120</v>
      </c>
      <c r="G143" s="10" t="s">
        <v>57</v>
      </c>
      <c r="H143" s="10" t="s">
        <v>58</v>
      </c>
      <c r="I143" s="10" t="s">
        <v>35</v>
      </c>
    </row>
    <row r="144" customFormat="false" ht="21" hidden="false" customHeight="true" outlineLevel="0" collapsed="false">
      <c r="A144" s="8"/>
      <c r="B144" s="8"/>
      <c r="C144" s="9"/>
      <c r="D144" s="9"/>
      <c r="E144" s="12" t="s">
        <v>59</v>
      </c>
      <c r="F144" s="8" t="s">
        <v>106</v>
      </c>
      <c r="G144" s="8" t="s">
        <v>107</v>
      </c>
      <c r="H144" s="8" t="s">
        <v>84</v>
      </c>
      <c r="I144" s="10"/>
    </row>
    <row r="145" customFormat="false" ht="21" hidden="false" customHeight="true" outlineLevel="0" collapsed="false">
      <c r="A145" s="8"/>
      <c r="B145" s="8"/>
      <c r="C145" s="9"/>
      <c r="D145" s="9"/>
      <c r="E145" s="12" t="s">
        <v>62</v>
      </c>
      <c r="F145" s="8" t="s">
        <v>212</v>
      </c>
      <c r="G145" s="8" t="s">
        <v>125</v>
      </c>
      <c r="H145" s="8" t="s">
        <v>61</v>
      </c>
      <c r="I145" s="10"/>
    </row>
    <row r="146" customFormat="false" ht="24" hidden="false" customHeight="true" outlineLevel="0" collapsed="false">
      <c r="A146" s="8"/>
      <c r="B146" s="8"/>
      <c r="C146" s="9" t="s">
        <v>129</v>
      </c>
      <c r="D146" s="10" t="s">
        <v>130</v>
      </c>
      <c r="E146" s="11" t="s">
        <v>131</v>
      </c>
      <c r="F146" s="10" t="s">
        <v>135</v>
      </c>
      <c r="G146" s="10" t="s">
        <v>132</v>
      </c>
      <c r="H146" s="10" t="s">
        <v>133</v>
      </c>
      <c r="I146" s="10" t="s">
        <v>46</v>
      </c>
    </row>
    <row r="147" customFormat="false" ht="24" hidden="false" customHeight="true" outlineLevel="0" collapsed="false">
      <c r="A147" s="8"/>
      <c r="B147" s="8"/>
      <c r="C147" s="9"/>
      <c r="D147" s="9"/>
      <c r="E147" s="12" t="s">
        <v>134</v>
      </c>
      <c r="F147" s="8" t="s">
        <v>76</v>
      </c>
      <c r="G147" s="8" t="s">
        <v>132</v>
      </c>
      <c r="H147" s="8" t="s">
        <v>133</v>
      </c>
      <c r="I147" s="10"/>
    </row>
    <row r="148" customFormat="false" ht="15" hidden="false" customHeight="false" outlineLevel="0" collapsed="false">
      <c r="A148" s="8"/>
      <c r="B148" s="8"/>
      <c r="C148" s="9" t="s">
        <v>36</v>
      </c>
      <c r="D148" s="10" t="s">
        <v>37</v>
      </c>
      <c r="E148" s="11"/>
      <c r="F148" s="10"/>
      <c r="G148" s="10"/>
      <c r="H148" s="10"/>
      <c r="I148" s="10" t="s">
        <v>38</v>
      </c>
    </row>
    <row r="149" customFormat="false" ht="23.85" hidden="false" customHeight="false" outlineLevel="0" collapsed="false">
      <c r="A149" s="5" t="s">
        <v>216</v>
      </c>
      <c r="B149" s="5" t="s">
        <v>217</v>
      </c>
      <c r="C149" s="5" t="s">
        <v>22</v>
      </c>
      <c r="D149" s="6" t="s">
        <v>23</v>
      </c>
      <c r="E149" s="7"/>
      <c r="F149" s="6"/>
      <c r="G149" s="6"/>
      <c r="H149" s="6"/>
      <c r="I149" s="6" t="s">
        <v>38</v>
      </c>
    </row>
    <row r="150" customFormat="false" ht="21" hidden="false" customHeight="true" outlineLevel="0" collapsed="false">
      <c r="A150" s="8"/>
      <c r="B150" s="8"/>
      <c r="C150" s="9" t="s">
        <v>25</v>
      </c>
      <c r="D150" s="10" t="s">
        <v>218</v>
      </c>
      <c r="E150" s="11" t="s">
        <v>172</v>
      </c>
      <c r="F150" s="10" t="s">
        <v>173</v>
      </c>
      <c r="G150" s="10" t="s">
        <v>219</v>
      </c>
      <c r="H150" s="10" t="s">
        <v>175</v>
      </c>
      <c r="I150" s="10" t="s">
        <v>220</v>
      </c>
    </row>
    <row r="151" customFormat="false" ht="21" hidden="false" customHeight="true" outlineLevel="0" collapsed="false">
      <c r="A151" s="8"/>
      <c r="B151" s="8"/>
      <c r="C151" s="9"/>
      <c r="D151" s="9"/>
      <c r="E151" s="12" t="s">
        <v>221</v>
      </c>
      <c r="F151" s="8" t="s">
        <v>87</v>
      </c>
      <c r="G151" s="8" t="s">
        <v>88</v>
      </c>
      <c r="H151" s="8" t="s">
        <v>65</v>
      </c>
      <c r="I151" s="10"/>
    </row>
    <row r="152" customFormat="false" ht="21" hidden="false" customHeight="true" outlineLevel="0" collapsed="false">
      <c r="A152" s="8"/>
      <c r="B152" s="8"/>
      <c r="C152" s="9"/>
      <c r="D152" s="9"/>
      <c r="E152" s="12" t="s">
        <v>222</v>
      </c>
      <c r="F152" s="8" t="s">
        <v>180</v>
      </c>
      <c r="G152" s="8" t="s">
        <v>155</v>
      </c>
      <c r="H152" s="8" t="s">
        <v>181</v>
      </c>
      <c r="I152" s="10"/>
    </row>
    <row r="153" customFormat="false" ht="15" hidden="false" customHeight="false" outlineLevel="0" collapsed="false">
      <c r="A153" s="8"/>
      <c r="B153" s="8"/>
      <c r="C153" s="9" t="s">
        <v>36</v>
      </c>
      <c r="D153" s="10" t="s">
        <v>37</v>
      </c>
      <c r="E153" s="11"/>
      <c r="F153" s="10"/>
      <c r="G153" s="10"/>
      <c r="H153" s="10"/>
      <c r="I153" s="10" t="s">
        <v>51</v>
      </c>
    </row>
    <row r="154" customFormat="false" ht="46.25" hidden="false" customHeight="false" outlineLevel="0" collapsed="false">
      <c r="A154" s="5" t="s">
        <v>223</v>
      </c>
      <c r="B154" s="5" t="s">
        <v>224</v>
      </c>
      <c r="C154" s="5" t="s">
        <v>22</v>
      </c>
      <c r="D154" s="6" t="s">
        <v>23</v>
      </c>
      <c r="E154" s="7"/>
      <c r="F154" s="6"/>
      <c r="G154" s="6"/>
      <c r="H154" s="6"/>
      <c r="I154" s="6" t="s">
        <v>72</v>
      </c>
    </row>
    <row r="155" customFormat="false" ht="24" hidden="false" customHeight="true" outlineLevel="0" collapsed="false">
      <c r="A155" s="8"/>
      <c r="B155" s="8"/>
      <c r="C155" s="9" t="s">
        <v>25</v>
      </c>
      <c r="D155" s="10" t="s">
        <v>159</v>
      </c>
      <c r="E155" s="11" t="s">
        <v>160</v>
      </c>
      <c r="F155" s="10" t="s">
        <v>63</v>
      </c>
      <c r="G155" s="10" t="s">
        <v>155</v>
      </c>
      <c r="H155" s="10" t="s">
        <v>225</v>
      </c>
      <c r="I155" s="10" t="s">
        <v>99</v>
      </c>
    </row>
    <row r="156" customFormat="false" ht="24" hidden="false" customHeight="true" outlineLevel="0" collapsed="false">
      <c r="A156" s="8"/>
      <c r="B156" s="8"/>
      <c r="C156" s="9"/>
      <c r="D156" s="9"/>
      <c r="E156" s="12" t="s">
        <v>162</v>
      </c>
      <c r="F156" s="8" t="s">
        <v>81</v>
      </c>
      <c r="G156" s="8" t="s">
        <v>57</v>
      </c>
      <c r="H156" s="8" t="s">
        <v>143</v>
      </c>
      <c r="I156" s="10"/>
    </row>
    <row r="157" customFormat="false" ht="24" hidden="false" customHeight="true" outlineLevel="0" collapsed="false">
      <c r="A157" s="8"/>
      <c r="B157" s="8"/>
      <c r="C157" s="9"/>
      <c r="D157" s="9"/>
      <c r="E157" s="12" t="s">
        <v>165</v>
      </c>
      <c r="F157" s="8" t="s">
        <v>188</v>
      </c>
      <c r="G157" s="8" t="s">
        <v>226</v>
      </c>
      <c r="H157" s="8" t="s">
        <v>227</v>
      </c>
      <c r="I157" s="10"/>
    </row>
    <row r="158" customFormat="false" ht="24" hidden="false" customHeight="true" outlineLevel="0" collapsed="false">
      <c r="A158" s="8"/>
      <c r="B158" s="8"/>
      <c r="C158" s="9"/>
      <c r="D158" s="9"/>
      <c r="E158" s="12" t="s">
        <v>166</v>
      </c>
      <c r="F158" s="8" t="s">
        <v>135</v>
      </c>
      <c r="G158" s="8" t="s">
        <v>110</v>
      </c>
      <c r="H158" s="8" t="s">
        <v>228</v>
      </c>
      <c r="I158" s="10"/>
    </row>
    <row r="159" customFormat="false" ht="48" hidden="false" customHeight="true" outlineLevel="0" collapsed="false">
      <c r="A159" s="8"/>
      <c r="B159" s="8"/>
      <c r="C159" s="9" t="s">
        <v>31</v>
      </c>
      <c r="D159" s="10" t="s">
        <v>85</v>
      </c>
      <c r="E159" s="11" t="s">
        <v>86</v>
      </c>
      <c r="F159" s="10" t="s">
        <v>71</v>
      </c>
      <c r="G159" s="10" t="s">
        <v>110</v>
      </c>
      <c r="H159" s="10" t="s">
        <v>167</v>
      </c>
      <c r="I159" s="10" t="s">
        <v>90</v>
      </c>
    </row>
    <row r="160" customFormat="false" ht="48" hidden="false" customHeight="true" outlineLevel="0" collapsed="false">
      <c r="A160" s="8"/>
      <c r="B160" s="8"/>
      <c r="C160" s="9"/>
      <c r="D160" s="9"/>
      <c r="E160" s="12" t="s">
        <v>91</v>
      </c>
      <c r="F160" s="8" t="s">
        <v>112</v>
      </c>
      <c r="G160" s="8" t="s">
        <v>127</v>
      </c>
      <c r="H160" s="8" t="s">
        <v>128</v>
      </c>
      <c r="I160" s="10"/>
    </row>
    <row r="161" customFormat="false" ht="15" hidden="false" customHeight="false" outlineLevel="0" collapsed="false">
      <c r="A161" s="8"/>
      <c r="B161" s="8"/>
      <c r="C161" s="9" t="s">
        <v>36</v>
      </c>
      <c r="D161" s="10" t="s">
        <v>37</v>
      </c>
      <c r="E161" s="11"/>
      <c r="F161" s="10"/>
      <c r="G161" s="10"/>
      <c r="H161" s="10"/>
      <c r="I161" s="10" t="s">
        <v>38</v>
      </c>
    </row>
    <row r="162" customFormat="false" ht="35.05" hidden="false" customHeight="false" outlineLevel="0" collapsed="false">
      <c r="A162" s="5" t="s">
        <v>229</v>
      </c>
      <c r="B162" s="5" t="s">
        <v>230</v>
      </c>
      <c r="C162" s="5" t="s">
        <v>22</v>
      </c>
      <c r="D162" s="6" t="s">
        <v>23</v>
      </c>
      <c r="E162" s="7"/>
      <c r="F162" s="6"/>
      <c r="G162" s="6"/>
      <c r="H162" s="6"/>
      <c r="I162" s="6" t="s">
        <v>72</v>
      </c>
    </row>
    <row r="163" customFormat="false" ht="19.5" hidden="false" customHeight="true" outlineLevel="0" collapsed="false">
      <c r="A163" s="8"/>
      <c r="B163" s="8"/>
      <c r="C163" s="9" t="s">
        <v>25</v>
      </c>
      <c r="D163" s="10" t="s">
        <v>231</v>
      </c>
      <c r="E163" s="11" t="s">
        <v>55</v>
      </c>
      <c r="F163" s="10" t="s">
        <v>121</v>
      </c>
      <c r="G163" s="10" t="s">
        <v>98</v>
      </c>
      <c r="H163" s="10" t="s">
        <v>122</v>
      </c>
      <c r="I163" s="10" t="s">
        <v>99</v>
      </c>
    </row>
    <row r="164" customFormat="false" ht="19.5" hidden="false" customHeight="true" outlineLevel="0" collapsed="false">
      <c r="A164" s="8"/>
      <c r="B164" s="8"/>
      <c r="C164" s="9"/>
      <c r="D164" s="9"/>
      <c r="E164" s="12" t="s">
        <v>59</v>
      </c>
      <c r="F164" s="8" t="s">
        <v>200</v>
      </c>
      <c r="G164" s="8" t="s">
        <v>98</v>
      </c>
      <c r="H164" s="8" t="s">
        <v>80</v>
      </c>
      <c r="I164" s="10"/>
    </row>
    <row r="165" customFormat="false" ht="19.5" hidden="false" customHeight="true" outlineLevel="0" collapsed="false">
      <c r="A165" s="8"/>
      <c r="B165" s="8"/>
      <c r="C165" s="9"/>
      <c r="D165" s="9"/>
      <c r="E165" s="12" t="s">
        <v>62</v>
      </c>
      <c r="F165" s="8" t="s">
        <v>232</v>
      </c>
      <c r="G165" s="8" t="s">
        <v>98</v>
      </c>
      <c r="H165" s="8" t="s">
        <v>58</v>
      </c>
      <c r="I165" s="10"/>
    </row>
    <row r="166" customFormat="false" ht="19.5" hidden="false" customHeight="true" outlineLevel="0" collapsed="false">
      <c r="A166" s="8"/>
      <c r="B166" s="8"/>
      <c r="C166" s="9"/>
      <c r="D166" s="9"/>
      <c r="E166" s="12" t="s">
        <v>82</v>
      </c>
      <c r="F166" s="8" t="s">
        <v>135</v>
      </c>
      <c r="G166" s="8" t="s">
        <v>98</v>
      </c>
      <c r="H166" s="8" t="s">
        <v>122</v>
      </c>
      <c r="I166" s="10"/>
    </row>
    <row r="167" customFormat="false" ht="48" hidden="false" customHeight="true" outlineLevel="0" collapsed="false">
      <c r="A167" s="8"/>
      <c r="B167" s="8"/>
      <c r="C167" s="9" t="s">
        <v>31</v>
      </c>
      <c r="D167" s="10" t="s">
        <v>233</v>
      </c>
      <c r="E167" s="11" t="s">
        <v>27</v>
      </c>
      <c r="F167" s="10" t="s">
        <v>42</v>
      </c>
      <c r="G167" s="10"/>
      <c r="H167" s="10" t="s">
        <v>234</v>
      </c>
      <c r="I167" s="10" t="s">
        <v>35</v>
      </c>
    </row>
    <row r="168" customFormat="false" ht="15" hidden="false" customHeight="false" outlineLevel="0" collapsed="false">
      <c r="A168" s="8"/>
      <c r="B168" s="8"/>
      <c r="C168" s="9" t="s">
        <v>36</v>
      </c>
      <c r="D168" s="10" t="s">
        <v>37</v>
      </c>
      <c r="E168" s="11"/>
      <c r="F168" s="10"/>
      <c r="G168" s="10"/>
      <c r="H168" s="10"/>
      <c r="I168" s="10" t="s">
        <v>38</v>
      </c>
    </row>
    <row r="169" customFormat="false" ht="35.05" hidden="false" customHeight="false" outlineLevel="0" collapsed="false">
      <c r="A169" s="5" t="s">
        <v>235</v>
      </c>
      <c r="B169" s="5" t="s">
        <v>236</v>
      </c>
      <c r="C169" s="5" t="s">
        <v>22</v>
      </c>
      <c r="D169" s="6" t="s">
        <v>23</v>
      </c>
      <c r="E169" s="7"/>
      <c r="F169" s="6"/>
      <c r="G169" s="6"/>
      <c r="H169" s="6"/>
      <c r="I169" s="6" t="s">
        <v>46</v>
      </c>
    </row>
    <row r="170" customFormat="false" ht="15.75" hidden="false" customHeight="true" outlineLevel="0" collapsed="false">
      <c r="A170" s="8"/>
      <c r="B170" s="8"/>
      <c r="C170" s="9" t="s">
        <v>25</v>
      </c>
      <c r="D170" s="10" t="s">
        <v>237</v>
      </c>
      <c r="E170" s="11" t="s">
        <v>55</v>
      </c>
      <c r="F170" s="10" t="s">
        <v>173</v>
      </c>
      <c r="G170" s="10" t="s">
        <v>238</v>
      </c>
      <c r="H170" s="10" t="s">
        <v>239</v>
      </c>
      <c r="I170" s="10" t="s">
        <v>220</v>
      </c>
    </row>
    <row r="171" customFormat="false" ht="15.75" hidden="false" customHeight="true" outlineLevel="0" collapsed="false">
      <c r="A171" s="8"/>
      <c r="B171" s="8"/>
      <c r="C171" s="9"/>
      <c r="D171" s="9"/>
      <c r="E171" s="12" t="s">
        <v>59</v>
      </c>
      <c r="F171" s="8" t="s">
        <v>119</v>
      </c>
      <c r="G171" s="8" t="s">
        <v>125</v>
      </c>
      <c r="H171" s="8" t="s">
        <v>58</v>
      </c>
      <c r="I171" s="10"/>
    </row>
    <row r="172" customFormat="false" ht="15.75" hidden="false" customHeight="true" outlineLevel="0" collapsed="false">
      <c r="A172" s="8"/>
      <c r="B172" s="8"/>
      <c r="C172" s="9"/>
      <c r="D172" s="9"/>
      <c r="E172" s="12" t="s">
        <v>62</v>
      </c>
      <c r="F172" s="8" t="s">
        <v>240</v>
      </c>
      <c r="G172" s="8" t="s">
        <v>57</v>
      </c>
      <c r="H172" s="8" t="s">
        <v>80</v>
      </c>
      <c r="I172" s="10"/>
    </row>
    <row r="173" customFormat="false" ht="15.75" hidden="false" customHeight="true" outlineLevel="0" collapsed="false">
      <c r="A173" s="8"/>
      <c r="B173" s="8"/>
      <c r="C173" s="9"/>
      <c r="D173" s="9"/>
      <c r="E173" s="12" t="s">
        <v>82</v>
      </c>
      <c r="F173" s="8" t="s">
        <v>109</v>
      </c>
      <c r="G173" s="8" t="s">
        <v>110</v>
      </c>
      <c r="H173" s="8" t="s">
        <v>84</v>
      </c>
      <c r="I173" s="10"/>
    </row>
    <row r="174" customFormat="false" ht="15" hidden="false" customHeight="false" outlineLevel="0" collapsed="false">
      <c r="A174" s="8"/>
      <c r="B174" s="8"/>
      <c r="C174" s="9" t="s">
        <v>36</v>
      </c>
      <c r="D174" s="10" t="s">
        <v>37</v>
      </c>
      <c r="E174" s="11"/>
      <c r="F174" s="10"/>
      <c r="G174" s="10"/>
      <c r="H174" s="10"/>
      <c r="I174" s="10" t="s">
        <v>51</v>
      </c>
    </row>
    <row r="175" customFormat="false" ht="46.25" hidden="false" customHeight="false" outlineLevel="0" collapsed="false">
      <c r="A175" s="5" t="s">
        <v>241</v>
      </c>
      <c r="B175" s="5" t="s">
        <v>242</v>
      </c>
      <c r="C175" s="5" t="s">
        <v>22</v>
      </c>
      <c r="D175" s="6" t="s">
        <v>23</v>
      </c>
      <c r="E175" s="7"/>
      <c r="F175" s="6"/>
      <c r="G175" s="6"/>
      <c r="H175" s="6"/>
      <c r="I175" s="6" t="s">
        <v>46</v>
      </c>
    </row>
    <row r="176" customFormat="false" ht="15.75" hidden="false" customHeight="true" outlineLevel="0" collapsed="false">
      <c r="A176" s="8"/>
      <c r="B176" s="8"/>
      <c r="C176" s="9" t="s">
        <v>25</v>
      </c>
      <c r="D176" s="10" t="s">
        <v>237</v>
      </c>
      <c r="E176" s="11" t="s">
        <v>55</v>
      </c>
      <c r="F176" s="10" t="s">
        <v>106</v>
      </c>
      <c r="G176" s="10" t="s">
        <v>243</v>
      </c>
      <c r="H176" s="10" t="s">
        <v>84</v>
      </c>
      <c r="I176" s="10" t="s">
        <v>244</v>
      </c>
    </row>
    <row r="177" customFormat="false" ht="15.75" hidden="false" customHeight="true" outlineLevel="0" collapsed="false">
      <c r="A177" s="8"/>
      <c r="B177" s="8"/>
      <c r="C177" s="9"/>
      <c r="D177" s="9"/>
      <c r="E177" s="12" t="s">
        <v>59</v>
      </c>
      <c r="F177" s="8" t="s">
        <v>200</v>
      </c>
      <c r="G177" s="8" t="s">
        <v>245</v>
      </c>
      <c r="H177" s="8" t="s">
        <v>80</v>
      </c>
      <c r="I177" s="10"/>
    </row>
    <row r="178" customFormat="false" ht="15.75" hidden="false" customHeight="true" outlineLevel="0" collapsed="false">
      <c r="A178" s="8"/>
      <c r="B178" s="8"/>
      <c r="C178" s="9"/>
      <c r="D178" s="9"/>
      <c r="E178" s="12" t="s">
        <v>62</v>
      </c>
      <c r="F178" s="8" t="s">
        <v>81</v>
      </c>
      <c r="G178" s="8" t="s">
        <v>107</v>
      </c>
      <c r="H178" s="8" t="s">
        <v>61</v>
      </c>
      <c r="I178" s="10"/>
    </row>
    <row r="179" customFormat="false" ht="15.75" hidden="false" customHeight="true" outlineLevel="0" collapsed="false">
      <c r="A179" s="8"/>
      <c r="B179" s="8"/>
      <c r="C179" s="9"/>
      <c r="D179" s="9"/>
      <c r="E179" s="12" t="s">
        <v>82</v>
      </c>
      <c r="F179" s="8" t="s">
        <v>124</v>
      </c>
      <c r="G179" s="8" t="s">
        <v>245</v>
      </c>
      <c r="H179" s="8" t="s">
        <v>84</v>
      </c>
      <c r="I179" s="10"/>
    </row>
    <row r="180" customFormat="false" ht="48" hidden="false" customHeight="true" outlineLevel="0" collapsed="false">
      <c r="A180" s="8"/>
      <c r="B180" s="8"/>
      <c r="C180" s="9" t="s">
        <v>31</v>
      </c>
      <c r="D180" s="10" t="s">
        <v>246</v>
      </c>
      <c r="E180" s="11" t="s">
        <v>27</v>
      </c>
      <c r="F180" s="10" t="s">
        <v>71</v>
      </c>
      <c r="G180" s="10"/>
      <c r="H180" s="10" t="s">
        <v>34</v>
      </c>
      <c r="I180" s="10" t="s">
        <v>72</v>
      </c>
    </row>
    <row r="181" customFormat="false" ht="15" hidden="false" customHeight="false" outlineLevel="0" collapsed="false">
      <c r="A181" s="8"/>
      <c r="B181" s="8"/>
      <c r="C181" s="9" t="s">
        <v>36</v>
      </c>
      <c r="D181" s="10" t="s">
        <v>37</v>
      </c>
      <c r="E181" s="11"/>
      <c r="F181" s="10"/>
      <c r="G181" s="10"/>
      <c r="H181" s="10"/>
      <c r="I181" s="10" t="s">
        <v>51</v>
      </c>
    </row>
    <row r="182" customFormat="false" ht="35.05" hidden="false" customHeight="false" outlineLevel="0" collapsed="false">
      <c r="A182" s="5" t="s">
        <v>247</v>
      </c>
      <c r="B182" s="5" t="s">
        <v>248</v>
      </c>
      <c r="C182" s="5" t="s">
        <v>22</v>
      </c>
      <c r="D182" s="6" t="s">
        <v>23</v>
      </c>
      <c r="E182" s="7"/>
      <c r="F182" s="6"/>
      <c r="G182" s="6"/>
      <c r="H182" s="6"/>
      <c r="I182" s="6" t="s">
        <v>72</v>
      </c>
    </row>
    <row r="183" customFormat="false" ht="24" hidden="false" customHeight="true" outlineLevel="0" collapsed="false">
      <c r="A183" s="8"/>
      <c r="B183" s="8"/>
      <c r="C183" s="9" t="s">
        <v>25</v>
      </c>
      <c r="D183" s="10" t="s">
        <v>159</v>
      </c>
      <c r="E183" s="11" t="s">
        <v>160</v>
      </c>
      <c r="F183" s="10" t="s">
        <v>87</v>
      </c>
      <c r="G183" s="10" t="s">
        <v>88</v>
      </c>
      <c r="H183" s="10" t="s">
        <v>89</v>
      </c>
      <c r="I183" s="10" t="s">
        <v>99</v>
      </c>
    </row>
    <row r="184" customFormat="false" ht="24" hidden="false" customHeight="true" outlineLevel="0" collapsed="false">
      <c r="A184" s="8"/>
      <c r="B184" s="8"/>
      <c r="C184" s="9"/>
      <c r="D184" s="9"/>
      <c r="E184" s="12" t="s">
        <v>162</v>
      </c>
      <c r="F184" s="8" t="s">
        <v>163</v>
      </c>
      <c r="G184" s="8" t="s">
        <v>107</v>
      </c>
      <c r="H184" s="8" t="s">
        <v>164</v>
      </c>
      <c r="I184" s="10"/>
    </row>
    <row r="185" customFormat="false" ht="24" hidden="false" customHeight="true" outlineLevel="0" collapsed="false">
      <c r="A185" s="8"/>
      <c r="B185" s="8"/>
      <c r="C185" s="9"/>
      <c r="D185" s="9"/>
      <c r="E185" s="12" t="s">
        <v>165</v>
      </c>
      <c r="F185" s="8" t="s">
        <v>112</v>
      </c>
      <c r="G185" s="8" t="s">
        <v>127</v>
      </c>
      <c r="H185" s="8" t="s">
        <v>128</v>
      </c>
      <c r="I185" s="10"/>
    </row>
    <row r="186" customFormat="false" ht="24" hidden="false" customHeight="true" outlineLevel="0" collapsed="false">
      <c r="A186" s="8"/>
      <c r="B186" s="8"/>
      <c r="C186" s="9"/>
      <c r="D186" s="9"/>
      <c r="E186" s="12" t="s">
        <v>166</v>
      </c>
      <c r="F186" s="8" t="s">
        <v>83</v>
      </c>
      <c r="G186" s="8" t="s">
        <v>110</v>
      </c>
      <c r="H186" s="8" t="s">
        <v>142</v>
      </c>
      <c r="I186" s="10"/>
    </row>
    <row r="187" customFormat="false" ht="48" hidden="false" customHeight="true" outlineLevel="0" collapsed="false">
      <c r="A187" s="8"/>
      <c r="B187" s="8"/>
      <c r="C187" s="9" t="s">
        <v>31</v>
      </c>
      <c r="D187" s="10" t="s">
        <v>85</v>
      </c>
      <c r="E187" s="11" t="s">
        <v>86</v>
      </c>
      <c r="F187" s="10" t="s">
        <v>106</v>
      </c>
      <c r="G187" s="10" t="s">
        <v>107</v>
      </c>
      <c r="H187" s="10" t="s">
        <v>167</v>
      </c>
      <c r="I187" s="10" t="s">
        <v>90</v>
      </c>
    </row>
    <row r="188" customFormat="false" ht="48" hidden="false" customHeight="true" outlineLevel="0" collapsed="false">
      <c r="A188" s="8"/>
      <c r="B188" s="8"/>
      <c r="C188" s="9"/>
      <c r="D188" s="9"/>
      <c r="E188" s="12" t="s">
        <v>91</v>
      </c>
      <c r="F188" s="8" t="s">
        <v>249</v>
      </c>
      <c r="G188" s="8" t="s">
        <v>127</v>
      </c>
      <c r="H188" s="8" t="s">
        <v>128</v>
      </c>
      <c r="I188" s="10"/>
    </row>
    <row r="189" customFormat="false" ht="15" hidden="false" customHeight="false" outlineLevel="0" collapsed="false">
      <c r="A189" s="8"/>
      <c r="B189" s="8"/>
      <c r="C189" s="9" t="s">
        <v>36</v>
      </c>
      <c r="D189" s="10" t="s">
        <v>37</v>
      </c>
      <c r="E189" s="11"/>
      <c r="F189" s="10"/>
      <c r="G189" s="10"/>
      <c r="H189" s="10"/>
      <c r="I189" s="10" t="s">
        <v>38</v>
      </c>
    </row>
    <row r="190" customFormat="false" ht="35.05" hidden="false" customHeight="false" outlineLevel="0" collapsed="false">
      <c r="A190" s="5" t="s">
        <v>250</v>
      </c>
      <c r="B190" s="5" t="s">
        <v>251</v>
      </c>
      <c r="C190" s="5" t="s">
        <v>22</v>
      </c>
      <c r="D190" s="6" t="s">
        <v>23</v>
      </c>
      <c r="E190" s="7"/>
      <c r="F190" s="6"/>
      <c r="G190" s="6"/>
      <c r="H190" s="6"/>
      <c r="I190" s="6" t="s">
        <v>72</v>
      </c>
    </row>
    <row r="191" customFormat="false" ht="15.75" hidden="false" customHeight="true" outlineLevel="0" collapsed="false">
      <c r="A191" s="8"/>
      <c r="B191" s="8"/>
      <c r="C191" s="9" t="s">
        <v>25</v>
      </c>
      <c r="D191" s="10" t="s">
        <v>150</v>
      </c>
      <c r="E191" s="11" t="s">
        <v>55</v>
      </c>
      <c r="F191" s="10" t="s">
        <v>33</v>
      </c>
      <c r="G191" s="10" t="s">
        <v>252</v>
      </c>
      <c r="H191" s="10" t="s">
        <v>78</v>
      </c>
      <c r="I191" s="10" t="s">
        <v>151</v>
      </c>
    </row>
    <row r="192" customFormat="false" ht="15.75" hidden="false" customHeight="true" outlineLevel="0" collapsed="false">
      <c r="A192" s="8"/>
      <c r="B192" s="8"/>
      <c r="C192" s="9"/>
      <c r="D192" s="9"/>
      <c r="E192" s="12" t="s">
        <v>59</v>
      </c>
      <c r="F192" s="8" t="s">
        <v>81</v>
      </c>
      <c r="G192" s="8" t="s">
        <v>108</v>
      </c>
      <c r="H192" s="8" t="s">
        <v>61</v>
      </c>
      <c r="I192" s="10"/>
    </row>
    <row r="193" customFormat="false" ht="15.75" hidden="false" customHeight="true" outlineLevel="0" collapsed="false">
      <c r="A193" s="8"/>
      <c r="B193" s="8"/>
      <c r="C193" s="9"/>
      <c r="D193" s="9"/>
      <c r="E193" s="12" t="s">
        <v>62</v>
      </c>
      <c r="F193" s="8" t="s">
        <v>146</v>
      </c>
      <c r="G193" s="8" t="s">
        <v>57</v>
      </c>
      <c r="H193" s="8" t="s">
        <v>58</v>
      </c>
      <c r="I193" s="10"/>
    </row>
    <row r="194" customFormat="false" ht="15.75" hidden="false" customHeight="true" outlineLevel="0" collapsed="false">
      <c r="A194" s="8"/>
      <c r="B194" s="8"/>
      <c r="C194" s="9"/>
      <c r="D194" s="9"/>
      <c r="E194" s="12" t="s">
        <v>82</v>
      </c>
      <c r="F194" s="8" t="s">
        <v>106</v>
      </c>
      <c r="G194" s="8" t="s">
        <v>107</v>
      </c>
      <c r="H194" s="8" t="s">
        <v>84</v>
      </c>
      <c r="I194" s="10"/>
    </row>
    <row r="195" customFormat="false" ht="48" hidden="false" customHeight="true" outlineLevel="0" collapsed="false">
      <c r="A195" s="8"/>
      <c r="B195" s="8"/>
      <c r="C195" s="9" t="s">
        <v>31</v>
      </c>
      <c r="D195" s="10" t="s">
        <v>147</v>
      </c>
      <c r="E195" s="11" t="s">
        <v>27</v>
      </c>
      <c r="F195" s="10" t="s">
        <v>42</v>
      </c>
      <c r="G195" s="10"/>
      <c r="H195" s="10" t="s">
        <v>34</v>
      </c>
      <c r="I195" s="10" t="s">
        <v>90</v>
      </c>
    </row>
    <row r="196" customFormat="false" ht="15" hidden="false" customHeight="false" outlineLevel="0" collapsed="false">
      <c r="A196" s="8"/>
      <c r="B196" s="8"/>
      <c r="C196" s="9" t="s">
        <v>36</v>
      </c>
      <c r="D196" s="10" t="s">
        <v>37</v>
      </c>
      <c r="E196" s="11"/>
      <c r="F196" s="10"/>
      <c r="G196" s="10"/>
      <c r="H196" s="10"/>
      <c r="I196" s="10" t="s">
        <v>38</v>
      </c>
    </row>
    <row r="197" customFormat="false" ht="46.25" hidden="false" customHeight="false" outlineLevel="0" collapsed="false">
      <c r="A197" s="5" t="s">
        <v>253</v>
      </c>
      <c r="B197" s="5" t="s">
        <v>254</v>
      </c>
      <c r="C197" s="5" t="s">
        <v>22</v>
      </c>
      <c r="D197" s="6" t="s">
        <v>23</v>
      </c>
      <c r="E197" s="7"/>
      <c r="F197" s="6"/>
      <c r="G197" s="6"/>
      <c r="H197" s="6"/>
      <c r="I197" s="6" t="s">
        <v>72</v>
      </c>
    </row>
    <row r="198" customFormat="false" ht="19.5" hidden="false" customHeight="true" outlineLevel="0" collapsed="false">
      <c r="A198" s="8"/>
      <c r="B198" s="8"/>
      <c r="C198" s="9" t="s">
        <v>25</v>
      </c>
      <c r="D198" s="10" t="s">
        <v>255</v>
      </c>
      <c r="E198" s="11" t="s">
        <v>55</v>
      </c>
      <c r="F198" s="10" t="s">
        <v>139</v>
      </c>
      <c r="G198" s="10" t="s">
        <v>256</v>
      </c>
      <c r="H198" s="10" t="s">
        <v>84</v>
      </c>
      <c r="I198" s="10" t="s">
        <v>30</v>
      </c>
    </row>
    <row r="199" customFormat="false" ht="19.5" hidden="false" customHeight="true" outlineLevel="0" collapsed="false">
      <c r="A199" s="8"/>
      <c r="B199" s="8"/>
      <c r="C199" s="9"/>
      <c r="D199" s="9"/>
      <c r="E199" s="12" t="s">
        <v>59</v>
      </c>
      <c r="F199" s="8" t="s">
        <v>153</v>
      </c>
      <c r="G199" s="8" t="s">
        <v>256</v>
      </c>
      <c r="H199" s="8" t="s">
        <v>80</v>
      </c>
      <c r="I199" s="10"/>
    </row>
    <row r="200" customFormat="false" ht="19.5" hidden="false" customHeight="true" outlineLevel="0" collapsed="false">
      <c r="A200" s="8"/>
      <c r="B200" s="8"/>
      <c r="C200" s="9"/>
      <c r="D200" s="9"/>
      <c r="E200" s="12" t="s">
        <v>62</v>
      </c>
      <c r="F200" s="8" t="s">
        <v>163</v>
      </c>
      <c r="G200" s="8" t="s">
        <v>256</v>
      </c>
      <c r="H200" s="8" t="s">
        <v>58</v>
      </c>
      <c r="I200" s="10"/>
    </row>
    <row r="201" customFormat="false" ht="19.5" hidden="false" customHeight="true" outlineLevel="0" collapsed="false">
      <c r="A201" s="8"/>
      <c r="B201" s="8"/>
      <c r="C201" s="9"/>
      <c r="D201" s="9"/>
      <c r="E201" s="12" t="s">
        <v>82</v>
      </c>
      <c r="F201" s="8" t="s">
        <v>109</v>
      </c>
      <c r="G201" s="8" t="s">
        <v>256</v>
      </c>
      <c r="H201" s="8" t="s">
        <v>84</v>
      </c>
      <c r="I201" s="10"/>
    </row>
    <row r="202" customFormat="false" ht="48" hidden="false" customHeight="true" outlineLevel="0" collapsed="false">
      <c r="A202" s="8"/>
      <c r="B202" s="8"/>
      <c r="C202" s="9" t="s">
        <v>31</v>
      </c>
      <c r="D202" s="10" t="s">
        <v>147</v>
      </c>
      <c r="E202" s="11" t="s">
        <v>27</v>
      </c>
      <c r="F202" s="10" t="s">
        <v>48</v>
      </c>
      <c r="G202" s="10"/>
      <c r="H202" s="10" t="s">
        <v>34</v>
      </c>
      <c r="I202" s="10" t="s">
        <v>90</v>
      </c>
    </row>
    <row r="203" customFormat="false" ht="15" hidden="false" customHeight="false" outlineLevel="0" collapsed="false">
      <c r="A203" s="8"/>
      <c r="B203" s="8"/>
      <c r="C203" s="9" t="s">
        <v>36</v>
      </c>
      <c r="D203" s="10" t="s">
        <v>37</v>
      </c>
      <c r="E203" s="11"/>
      <c r="F203" s="10"/>
      <c r="G203" s="10"/>
      <c r="H203" s="10"/>
      <c r="I203" s="10" t="s">
        <v>38</v>
      </c>
    </row>
    <row r="204" customFormat="false" ht="46.25" hidden="false" customHeight="false" outlineLevel="0" collapsed="false">
      <c r="A204" s="5" t="s">
        <v>257</v>
      </c>
      <c r="B204" s="5" t="s">
        <v>258</v>
      </c>
      <c r="C204" s="5" t="s">
        <v>22</v>
      </c>
      <c r="D204" s="6" t="s">
        <v>23</v>
      </c>
      <c r="E204" s="7"/>
      <c r="F204" s="6"/>
      <c r="G204" s="6"/>
      <c r="H204" s="6"/>
      <c r="I204" s="6" t="s">
        <v>72</v>
      </c>
    </row>
    <row r="205" customFormat="false" ht="19.5" hidden="false" customHeight="true" outlineLevel="0" collapsed="false">
      <c r="A205" s="8"/>
      <c r="B205" s="8"/>
      <c r="C205" s="9" t="s">
        <v>25</v>
      </c>
      <c r="D205" s="10" t="s">
        <v>259</v>
      </c>
      <c r="E205" s="11" t="s">
        <v>55</v>
      </c>
      <c r="F205" s="10" t="s">
        <v>33</v>
      </c>
      <c r="G205" s="10" t="s">
        <v>98</v>
      </c>
      <c r="H205" s="10" t="s">
        <v>78</v>
      </c>
      <c r="I205" s="10" t="s">
        <v>176</v>
      </c>
    </row>
    <row r="206" customFormat="false" ht="19.5" hidden="false" customHeight="true" outlineLevel="0" collapsed="false">
      <c r="A206" s="8"/>
      <c r="B206" s="8"/>
      <c r="C206" s="9"/>
      <c r="D206" s="9"/>
      <c r="E206" s="12" t="s">
        <v>59</v>
      </c>
      <c r="F206" s="8" t="s">
        <v>81</v>
      </c>
      <c r="G206" s="8" t="s">
        <v>98</v>
      </c>
      <c r="H206" s="8" t="s">
        <v>61</v>
      </c>
      <c r="I206" s="10"/>
    </row>
    <row r="207" customFormat="false" ht="19.5" hidden="false" customHeight="true" outlineLevel="0" collapsed="false">
      <c r="A207" s="8"/>
      <c r="B207" s="8"/>
      <c r="C207" s="9"/>
      <c r="D207" s="9"/>
      <c r="E207" s="12" t="s">
        <v>62</v>
      </c>
      <c r="F207" s="8" t="s">
        <v>146</v>
      </c>
      <c r="G207" s="8" t="s">
        <v>98</v>
      </c>
      <c r="H207" s="8" t="s">
        <v>58</v>
      </c>
      <c r="I207" s="10"/>
    </row>
    <row r="208" customFormat="false" ht="19.5" hidden="false" customHeight="true" outlineLevel="0" collapsed="false">
      <c r="A208" s="8"/>
      <c r="B208" s="8"/>
      <c r="C208" s="9"/>
      <c r="D208" s="9"/>
      <c r="E208" s="12" t="s">
        <v>82</v>
      </c>
      <c r="F208" s="8" t="s">
        <v>135</v>
      </c>
      <c r="G208" s="8" t="s">
        <v>98</v>
      </c>
      <c r="H208" s="8" t="s">
        <v>78</v>
      </c>
      <c r="I208" s="10"/>
    </row>
    <row r="209" customFormat="false" ht="48" hidden="false" customHeight="true" outlineLevel="0" collapsed="false">
      <c r="A209" s="8"/>
      <c r="B209" s="8"/>
      <c r="C209" s="9" t="s">
        <v>31</v>
      </c>
      <c r="D209" s="10" t="s">
        <v>260</v>
      </c>
      <c r="E209" s="11" t="s">
        <v>27</v>
      </c>
      <c r="F209" s="10" t="s">
        <v>48</v>
      </c>
      <c r="G209" s="10"/>
      <c r="H209" s="10" t="s">
        <v>34</v>
      </c>
      <c r="I209" s="10" t="s">
        <v>90</v>
      </c>
    </row>
    <row r="210" customFormat="false" ht="15" hidden="false" customHeight="false" outlineLevel="0" collapsed="false">
      <c r="A210" s="8"/>
      <c r="B210" s="8"/>
      <c r="C210" s="9" t="s">
        <v>36</v>
      </c>
      <c r="D210" s="10" t="s">
        <v>37</v>
      </c>
      <c r="E210" s="11"/>
      <c r="F210" s="10"/>
      <c r="G210" s="10"/>
      <c r="H210" s="10"/>
      <c r="I210" s="10" t="s">
        <v>38</v>
      </c>
    </row>
    <row r="211" customFormat="false" ht="57.45" hidden="false" customHeight="false" outlineLevel="0" collapsed="false">
      <c r="A211" s="5" t="s">
        <v>261</v>
      </c>
      <c r="B211" s="5" t="s">
        <v>262</v>
      </c>
      <c r="C211" s="5" t="s">
        <v>22</v>
      </c>
      <c r="D211" s="6" t="s">
        <v>23</v>
      </c>
      <c r="E211" s="7"/>
      <c r="F211" s="6"/>
      <c r="G211" s="6"/>
      <c r="H211" s="6"/>
      <c r="I211" s="6" t="s">
        <v>46</v>
      </c>
    </row>
    <row r="212" customFormat="false" ht="39.75" hidden="false" customHeight="true" outlineLevel="0" collapsed="false">
      <c r="A212" s="8"/>
      <c r="B212" s="8"/>
      <c r="C212" s="9" t="s">
        <v>25</v>
      </c>
      <c r="D212" s="10" t="s">
        <v>263</v>
      </c>
      <c r="E212" s="11" t="s">
        <v>55</v>
      </c>
      <c r="F212" s="10" t="s">
        <v>240</v>
      </c>
      <c r="G212" s="10" t="s">
        <v>98</v>
      </c>
      <c r="H212" s="10" t="s">
        <v>80</v>
      </c>
      <c r="I212" s="10" t="s">
        <v>264</v>
      </c>
    </row>
    <row r="213" customFormat="false" ht="39.75" hidden="false" customHeight="true" outlineLevel="0" collapsed="false">
      <c r="A213" s="8"/>
      <c r="B213" s="8"/>
      <c r="C213" s="9"/>
      <c r="D213" s="9"/>
      <c r="E213" s="12" t="s">
        <v>59</v>
      </c>
      <c r="F213" s="8" t="s">
        <v>120</v>
      </c>
      <c r="G213" s="8" t="s">
        <v>98</v>
      </c>
      <c r="H213" s="8" t="s">
        <v>58</v>
      </c>
      <c r="I213" s="10"/>
    </row>
    <row r="214" customFormat="false" ht="15" hidden="false" customHeight="false" outlineLevel="0" collapsed="false">
      <c r="A214" s="8"/>
      <c r="B214" s="8"/>
      <c r="C214" s="9" t="s">
        <v>36</v>
      </c>
      <c r="D214" s="10" t="s">
        <v>37</v>
      </c>
      <c r="E214" s="11"/>
      <c r="F214" s="10"/>
      <c r="G214" s="10"/>
      <c r="H214" s="10"/>
      <c r="I214" s="10" t="s">
        <v>51</v>
      </c>
    </row>
  </sheetData>
  <mergeCells count="120">
    <mergeCell ref="C15:C17"/>
    <mergeCell ref="D15:D17"/>
    <mergeCell ref="I15:I17"/>
    <mergeCell ref="C24:C27"/>
    <mergeCell ref="D24:D27"/>
    <mergeCell ref="I24:I27"/>
    <mergeCell ref="C28:C29"/>
    <mergeCell ref="D28:D29"/>
    <mergeCell ref="I28:I29"/>
    <mergeCell ref="C32:C35"/>
    <mergeCell ref="D32:D35"/>
    <mergeCell ref="I32:I35"/>
    <mergeCell ref="C39:C42"/>
    <mergeCell ref="D39:D42"/>
    <mergeCell ref="I39:I42"/>
    <mergeCell ref="C43:C45"/>
    <mergeCell ref="D43:D45"/>
    <mergeCell ref="I43:I45"/>
    <mergeCell ref="C48:C51"/>
    <mergeCell ref="D48:D51"/>
    <mergeCell ref="I48:I51"/>
    <mergeCell ref="C52:C53"/>
    <mergeCell ref="D52:D53"/>
    <mergeCell ref="I52:I53"/>
    <mergeCell ref="C54:C55"/>
    <mergeCell ref="D54:D55"/>
    <mergeCell ref="I54:I55"/>
    <mergeCell ref="C58:C61"/>
    <mergeCell ref="D58:D61"/>
    <mergeCell ref="I58:I61"/>
    <mergeCell ref="C62:C63"/>
    <mergeCell ref="D62:D63"/>
    <mergeCell ref="I62:I63"/>
    <mergeCell ref="C64:C65"/>
    <mergeCell ref="D64:D65"/>
    <mergeCell ref="I64:I65"/>
    <mergeCell ref="C68:C71"/>
    <mergeCell ref="D68:D71"/>
    <mergeCell ref="I68:I71"/>
    <mergeCell ref="C75:C78"/>
    <mergeCell ref="D75:D78"/>
    <mergeCell ref="I75:I78"/>
    <mergeCell ref="C82:C85"/>
    <mergeCell ref="D82:D85"/>
    <mergeCell ref="I82:I85"/>
    <mergeCell ref="C86:C87"/>
    <mergeCell ref="D86:D87"/>
    <mergeCell ref="I86:I87"/>
    <mergeCell ref="C90:C95"/>
    <mergeCell ref="D90:D95"/>
    <mergeCell ref="I90:I95"/>
    <mergeCell ref="C96:C98"/>
    <mergeCell ref="D96:D98"/>
    <mergeCell ref="I96:I98"/>
    <mergeCell ref="C101:C106"/>
    <mergeCell ref="D101:D106"/>
    <mergeCell ref="I101:I106"/>
    <mergeCell ref="C107:C109"/>
    <mergeCell ref="D107:D109"/>
    <mergeCell ref="I107:I109"/>
    <mergeCell ref="C112:C117"/>
    <mergeCell ref="D112:D117"/>
    <mergeCell ref="I112:I117"/>
    <mergeCell ref="C118:C120"/>
    <mergeCell ref="D118:D120"/>
    <mergeCell ref="I118:I120"/>
    <mergeCell ref="C123:C129"/>
    <mergeCell ref="D123:D129"/>
    <mergeCell ref="I123:I129"/>
    <mergeCell ref="C130:C132"/>
    <mergeCell ref="D130:D132"/>
    <mergeCell ref="I130:I132"/>
    <mergeCell ref="C133:C134"/>
    <mergeCell ref="D133:D134"/>
    <mergeCell ref="I133:I134"/>
    <mergeCell ref="C137:C142"/>
    <mergeCell ref="D137:D142"/>
    <mergeCell ref="I137:I142"/>
    <mergeCell ref="C143:C145"/>
    <mergeCell ref="D143:D145"/>
    <mergeCell ref="I143:I145"/>
    <mergeCell ref="C146:C147"/>
    <mergeCell ref="D146:D147"/>
    <mergeCell ref="I146:I147"/>
    <mergeCell ref="C150:C152"/>
    <mergeCell ref="D150:D152"/>
    <mergeCell ref="I150:I152"/>
    <mergeCell ref="C155:C158"/>
    <mergeCell ref="D155:D158"/>
    <mergeCell ref="I155:I158"/>
    <mergeCell ref="C159:C160"/>
    <mergeCell ref="D159:D160"/>
    <mergeCell ref="I159:I160"/>
    <mergeCell ref="C163:C166"/>
    <mergeCell ref="D163:D166"/>
    <mergeCell ref="I163:I166"/>
    <mergeCell ref="C170:C173"/>
    <mergeCell ref="D170:D173"/>
    <mergeCell ref="I170:I173"/>
    <mergeCell ref="C176:C179"/>
    <mergeCell ref="D176:D179"/>
    <mergeCell ref="I176:I179"/>
    <mergeCell ref="C183:C186"/>
    <mergeCell ref="D183:D186"/>
    <mergeCell ref="I183:I186"/>
    <mergeCell ref="C187:C188"/>
    <mergeCell ref="D187:D188"/>
    <mergeCell ref="I187:I188"/>
    <mergeCell ref="C191:C194"/>
    <mergeCell ref="D191:D194"/>
    <mergeCell ref="I191:I194"/>
    <mergeCell ref="C198:C201"/>
    <mergeCell ref="D198:D201"/>
    <mergeCell ref="I198:I201"/>
    <mergeCell ref="C205:C208"/>
    <mergeCell ref="D205:D208"/>
    <mergeCell ref="I205:I208"/>
    <mergeCell ref="C212:C213"/>
    <mergeCell ref="D212:D213"/>
    <mergeCell ref="I212:I2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60"/>
    <col collapsed="false" customWidth="true" hidden="false" outlineLevel="0" max="12" min="11" style="0" width="40"/>
    <col collapsed="false" customWidth="true" hidden="false" outlineLevel="0" max="13" min="13" style="0" width="12"/>
    <col collapsed="false" customWidth="true" hidden="false" outlineLevel="0" max="17" min="14" style="0" width="15"/>
    <col collapsed="false" customWidth="true" hidden="false" outlineLevel="0" max="18" min="18" style="0" width="40"/>
  </cols>
  <sheetData>
    <row r="1" customFormat="false" ht="30" hidden="false" customHeight="true" outlineLevel="0" collapsed="false">
      <c r="A1" s="13" t="s">
        <v>11</v>
      </c>
      <c r="B1" s="13" t="s">
        <v>265</v>
      </c>
      <c r="C1" s="13" t="s">
        <v>266</v>
      </c>
      <c r="D1" s="13" t="s">
        <v>267</v>
      </c>
      <c r="E1" s="13" t="s">
        <v>268</v>
      </c>
      <c r="F1" s="13" t="s">
        <v>269</v>
      </c>
      <c r="G1" s="13" t="s">
        <v>270</v>
      </c>
      <c r="H1" s="13" t="s">
        <v>271</v>
      </c>
      <c r="I1" s="13" t="s">
        <v>272</v>
      </c>
      <c r="J1" s="13" t="s">
        <v>273</v>
      </c>
      <c r="K1" s="13" t="s">
        <v>274</v>
      </c>
      <c r="L1" s="13" t="s">
        <v>275</v>
      </c>
      <c r="M1" s="13" t="s">
        <v>276</v>
      </c>
      <c r="N1" s="13" t="s">
        <v>277</v>
      </c>
      <c r="O1" s="13" t="s">
        <v>278</v>
      </c>
      <c r="P1" s="13" t="s">
        <v>279</v>
      </c>
      <c r="Q1" s="13" t="s">
        <v>280</v>
      </c>
      <c r="R1" s="13" t="s">
        <v>281</v>
      </c>
    </row>
    <row r="2" customFormat="false" ht="23.85" hidden="false" customHeight="false" outlineLevel="0" collapsed="false">
      <c r="A2" s="14" t="s">
        <v>20</v>
      </c>
      <c r="B2" s="15" t="s">
        <v>282</v>
      </c>
      <c r="C2" s="15" t="s">
        <v>283</v>
      </c>
      <c r="D2" s="15" t="s">
        <v>282</v>
      </c>
      <c r="E2" s="15" t="s">
        <v>284</v>
      </c>
      <c r="F2" s="16" t="n">
        <v>44.7</v>
      </c>
      <c r="G2" s="17" t="n">
        <v>30.7</v>
      </c>
      <c r="H2" s="18" t="n">
        <v>1</v>
      </c>
      <c r="I2" s="15" t="s">
        <v>285</v>
      </c>
      <c r="J2" s="15" t="s">
        <v>286</v>
      </c>
      <c r="K2" s="15" t="s">
        <v>287</v>
      </c>
      <c r="L2" s="15" t="s">
        <v>288</v>
      </c>
      <c r="M2" s="15" t="s">
        <v>289</v>
      </c>
      <c r="N2" s="19"/>
      <c r="O2" s="19"/>
      <c r="P2" s="19"/>
      <c r="Q2" s="19"/>
      <c r="R2" s="19"/>
    </row>
    <row r="3" customFormat="false" ht="23.85" hidden="false" customHeight="false" outlineLevel="0" collapsed="false">
      <c r="A3" s="14" t="s">
        <v>39</v>
      </c>
      <c r="B3" s="15" t="s">
        <v>282</v>
      </c>
      <c r="C3" s="15" t="s">
        <v>290</v>
      </c>
      <c r="D3" s="15" t="s">
        <v>282</v>
      </c>
      <c r="E3" s="15" t="s">
        <v>291</v>
      </c>
      <c r="F3" s="16" t="n">
        <v>46.7</v>
      </c>
      <c r="G3" s="17" t="n">
        <v>32.7</v>
      </c>
      <c r="H3" s="18" t="n">
        <v>1</v>
      </c>
      <c r="I3" s="15" t="s">
        <v>292</v>
      </c>
      <c r="J3" s="15" t="s">
        <v>293</v>
      </c>
      <c r="K3" s="15" t="s">
        <v>294</v>
      </c>
      <c r="L3" s="15" t="s">
        <v>288</v>
      </c>
      <c r="M3" s="15" t="s">
        <v>289</v>
      </c>
      <c r="N3" s="19"/>
      <c r="O3" s="19"/>
      <c r="P3" s="19"/>
      <c r="Q3" s="19"/>
      <c r="R3" s="19"/>
    </row>
    <row r="4" customFormat="false" ht="35.05" hidden="false" customHeight="false" outlineLevel="0" collapsed="false">
      <c r="A4" s="14" t="s">
        <v>44</v>
      </c>
      <c r="B4" s="15" t="s">
        <v>282</v>
      </c>
      <c r="C4" s="15" t="s">
        <v>295</v>
      </c>
      <c r="D4" s="15" t="s">
        <v>282</v>
      </c>
      <c r="E4" s="15" t="s">
        <v>296</v>
      </c>
      <c r="F4" s="16" t="n">
        <v>23</v>
      </c>
      <c r="G4" s="17" t="n">
        <v>15</v>
      </c>
      <c r="H4" s="18" t="n">
        <v>1</v>
      </c>
      <c r="I4" s="15" t="s">
        <v>297</v>
      </c>
      <c r="J4" s="15" t="s">
        <v>298</v>
      </c>
      <c r="K4" s="15"/>
      <c r="L4" s="15" t="s">
        <v>299</v>
      </c>
      <c r="M4" s="15" t="s">
        <v>289</v>
      </c>
      <c r="N4" s="19"/>
      <c r="O4" s="19"/>
      <c r="P4" s="19"/>
      <c r="Q4" s="19"/>
      <c r="R4" s="19"/>
    </row>
    <row r="5" customFormat="false" ht="35.05" hidden="false" customHeight="false" outlineLevel="0" collapsed="false">
      <c r="A5" s="14" t="s">
        <v>52</v>
      </c>
      <c r="B5" s="15" t="s">
        <v>282</v>
      </c>
      <c r="C5" s="15" t="s">
        <v>300</v>
      </c>
      <c r="D5" s="15" t="s">
        <v>282</v>
      </c>
      <c r="E5" s="15" t="s">
        <v>284</v>
      </c>
      <c r="F5" s="16" t="n">
        <v>45</v>
      </c>
      <c r="G5" s="17" t="n">
        <v>31</v>
      </c>
      <c r="H5" s="18" t="n">
        <v>1</v>
      </c>
      <c r="I5" s="15" t="s">
        <v>292</v>
      </c>
      <c r="J5" s="15" t="s">
        <v>301</v>
      </c>
      <c r="K5" s="15" t="s">
        <v>302</v>
      </c>
      <c r="L5" s="15" t="s">
        <v>303</v>
      </c>
      <c r="M5" s="15" t="s">
        <v>289</v>
      </c>
      <c r="N5" s="19"/>
      <c r="O5" s="19"/>
      <c r="P5" s="19"/>
      <c r="Q5" s="19"/>
      <c r="R5" s="19"/>
    </row>
    <row r="6" customFormat="false" ht="35.05" hidden="false" customHeight="false" outlineLevel="0" collapsed="false">
      <c r="A6" s="14" t="s">
        <v>66</v>
      </c>
      <c r="B6" s="15" t="s">
        <v>282</v>
      </c>
      <c r="C6" s="15" t="s">
        <v>304</v>
      </c>
      <c r="D6" s="15" t="s">
        <v>282</v>
      </c>
      <c r="E6" s="15" t="s">
        <v>305</v>
      </c>
      <c r="F6" s="16" t="n">
        <v>26.7</v>
      </c>
      <c r="G6" s="17" t="n">
        <v>17.7</v>
      </c>
      <c r="H6" s="18" t="n">
        <v>1</v>
      </c>
      <c r="I6" s="15" t="s">
        <v>306</v>
      </c>
      <c r="J6" s="15" t="s">
        <v>307</v>
      </c>
      <c r="K6" s="15" t="s">
        <v>308</v>
      </c>
      <c r="L6" s="15" t="s">
        <v>309</v>
      </c>
      <c r="M6" s="15" t="s">
        <v>289</v>
      </c>
      <c r="N6" s="19"/>
      <c r="O6" s="19"/>
      <c r="P6" s="19"/>
      <c r="Q6" s="19"/>
      <c r="R6" s="19"/>
    </row>
    <row r="7" customFormat="false" ht="23.85" hidden="false" customHeight="false" outlineLevel="0" collapsed="false">
      <c r="A7" s="14" t="s">
        <v>73</v>
      </c>
      <c r="B7" s="15" t="s">
        <v>310</v>
      </c>
      <c r="C7" s="15" t="s">
        <v>311</v>
      </c>
      <c r="D7" s="15" t="s">
        <v>310</v>
      </c>
      <c r="E7" s="15" t="s">
        <v>312</v>
      </c>
      <c r="F7" s="16" t="n">
        <v>45</v>
      </c>
      <c r="G7" s="17" t="n">
        <v>32</v>
      </c>
      <c r="H7" s="18" t="n">
        <v>0.83</v>
      </c>
      <c r="I7" s="15" t="s">
        <v>313</v>
      </c>
      <c r="J7" s="15" t="s">
        <v>314</v>
      </c>
      <c r="K7" s="15"/>
      <c r="L7" s="15" t="s">
        <v>315</v>
      </c>
      <c r="M7" s="15" t="s">
        <v>289</v>
      </c>
      <c r="N7" s="19"/>
      <c r="O7" s="19"/>
      <c r="P7" s="19"/>
      <c r="Q7" s="19"/>
      <c r="R7" s="19"/>
    </row>
    <row r="8" customFormat="false" ht="35.05" hidden="false" customHeight="false" outlineLevel="0" collapsed="false">
      <c r="A8" s="14" t="s">
        <v>94</v>
      </c>
      <c r="B8" s="15" t="s">
        <v>310</v>
      </c>
      <c r="C8" s="15" t="s">
        <v>316</v>
      </c>
      <c r="D8" s="15" t="s">
        <v>310</v>
      </c>
      <c r="E8" s="15" t="s">
        <v>312</v>
      </c>
      <c r="F8" s="16" t="n">
        <v>42.5</v>
      </c>
      <c r="G8" s="17" t="n">
        <v>29.5</v>
      </c>
      <c r="H8" s="18" t="n">
        <v>0.88</v>
      </c>
      <c r="I8" s="15" t="s">
        <v>317</v>
      </c>
      <c r="J8" s="15" t="s">
        <v>318</v>
      </c>
      <c r="K8" s="15"/>
      <c r="L8" s="15" t="s">
        <v>319</v>
      </c>
      <c r="M8" s="15" t="s">
        <v>289</v>
      </c>
      <c r="N8" s="19"/>
      <c r="O8" s="19"/>
      <c r="P8" s="19"/>
      <c r="Q8" s="19"/>
      <c r="R8" s="19"/>
    </row>
    <row r="9" customFormat="false" ht="35.05" hidden="false" customHeight="false" outlineLevel="0" collapsed="false">
      <c r="A9" s="14" t="s">
        <v>103</v>
      </c>
      <c r="B9" s="15" t="s">
        <v>310</v>
      </c>
      <c r="C9" s="15" t="s">
        <v>320</v>
      </c>
      <c r="D9" s="15" t="s">
        <v>310</v>
      </c>
      <c r="E9" s="15" t="s">
        <v>312</v>
      </c>
      <c r="F9" s="16" t="n">
        <v>44.2</v>
      </c>
      <c r="G9" s="17" t="n">
        <v>31.2</v>
      </c>
      <c r="H9" s="18" t="n">
        <v>0.83</v>
      </c>
      <c r="I9" s="15" t="s">
        <v>321</v>
      </c>
      <c r="J9" s="15" t="s">
        <v>322</v>
      </c>
      <c r="K9" s="15"/>
      <c r="L9" s="15" t="s">
        <v>323</v>
      </c>
      <c r="M9" s="15" t="s">
        <v>289</v>
      </c>
      <c r="N9" s="19"/>
      <c r="O9" s="19"/>
      <c r="P9" s="19"/>
      <c r="Q9" s="19"/>
      <c r="R9" s="19"/>
    </row>
    <row r="10" customFormat="false" ht="35.05" hidden="false" customHeight="false" outlineLevel="0" collapsed="false">
      <c r="A10" s="14" t="s">
        <v>114</v>
      </c>
      <c r="B10" s="15" t="s">
        <v>310</v>
      </c>
      <c r="C10" s="15" t="s">
        <v>324</v>
      </c>
      <c r="D10" s="15" t="s">
        <v>310</v>
      </c>
      <c r="E10" s="15" t="s">
        <v>312</v>
      </c>
      <c r="F10" s="16" t="n">
        <v>55</v>
      </c>
      <c r="G10" s="17" t="n">
        <v>41</v>
      </c>
      <c r="H10" s="18" t="n">
        <v>0.83</v>
      </c>
      <c r="I10" s="15" t="s">
        <v>325</v>
      </c>
      <c r="J10" s="15" t="s">
        <v>326</v>
      </c>
      <c r="K10" s="15"/>
      <c r="L10" s="15" t="s">
        <v>327</v>
      </c>
      <c r="M10" s="15" t="s">
        <v>289</v>
      </c>
      <c r="N10" s="19"/>
      <c r="O10" s="19"/>
      <c r="P10" s="19"/>
      <c r="Q10" s="19"/>
      <c r="R10" s="19"/>
    </row>
    <row r="11" customFormat="false" ht="35.05" hidden="false" customHeight="false" outlineLevel="0" collapsed="false">
      <c r="A11" s="14" t="s">
        <v>136</v>
      </c>
      <c r="B11" s="15" t="s">
        <v>310</v>
      </c>
      <c r="C11" s="15" t="s">
        <v>328</v>
      </c>
      <c r="D11" s="15" t="s">
        <v>310</v>
      </c>
      <c r="E11" s="15" t="s">
        <v>312</v>
      </c>
      <c r="F11" s="16" t="n">
        <v>50.4</v>
      </c>
      <c r="G11" s="17" t="n">
        <v>36.4</v>
      </c>
      <c r="H11" s="18" t="n">
        <v>0.83</v>
      </c>
      <c r="I11" s="15" t="s">
        <v>329</v>
      </c>
      <c r="J11" s="15" t="s">
        <v>330</v>
      </c>
      <c r="K11" s="15"/>
      <c r="L11" s="15" t="s">
        <v>331</v>
      </c>
      <c r="M11" s="15" t="s">
        <v>289</v>
      </c>
      <c r="N11" s="19"/>
      <c r="O11" s="19"/>
      <c r="P11" s="19"/>
      <c r="Q11" s="19"/>
      <c r="R11" s="19"/>
    </row>
    <row r="12" customFormat="false" ht="23.85" hidden="false" customHeight="false" outlineLevel="0" collapsed="false">
      <c r="A12" s="14" t="s">
        <v>144</v>
      </c>
      <c r="B12" s="15" t="s">
        <v>310</v>
      </c>
      <c r="C12" s="15" t="s">
        <v>332</v>
      </c>
      <c r="D12" s="15" t="s">
        <v>310</v>
      </c>
      <c r="E12" s="15" t="s">
        <v>312</v>
      </c>
      <c r="F12" s="16" t="n">
        <v>44.7</v>
      </c>
      <c r="G12" s="17" t="n">
        <v>31.7</v>
      </c>
      <c r="H12" s="18" t="n">
        <v>0.83</v>
      </c>
      <c r="I12" s="15" t="s">
        <v>333</v>
      </c>
      <c r="J12" s="15" t="s">
        <v>334</v>
      </c>
      <c r="K12" s="15"/>
      <c r="L12" s="15" t="s">
        <v>335</v>
      </c>
      <c r="M12" s="15" t="s">
        <v>289</v>
      </c>
      <c r="N12" s="19"/>
      <c r="O12" s="19"/>
      <c r="P12" s="19"/>
      <c r="Q12" s="19"/>
      <c r="R12" s="19"/>
    </row>
    <row r="13" customFormat="false" ht="23.85" hidden="false" customHeight="false" outlineLevel="0" collapsed="false">
      <c r="A13" s="14" t="s">
        <v>148</v>
      </c>
      <c r="B13" s="15" t="s">
        <v>310</v>
      </c>
      <c r="C13" s="15" t="s">
        <v>336</v>
      </c>
      <c r="D13" s="15" t="s">
        <v>310</v>
      </c>
      <c r="E13" s="15" t="s">
        <v>312</v>
      </c>
      <c r="F13" s="16" t="n">
        <v>43.9</v>
      </c>
      <c r="G13" s="17" t="n">
        <v>30.9</v>
      </c>
      <c r="H13" s="18" t="n">
        <v>0.86</v>
      </c>
      <c r="I13" s="15" t="s">
        <v>337</v>
      </c>
      <c r="J13" s="15" t="s">
        <v>334</v>
      </c>
      <c r="K13" s="15"/>
      <c r="L13" s="15" t="s">
        <v>338</v>
      </c>
      <c r="M13" s="15" t="s">
        <v>289</v>
      </c>
      <c r="N13" s="19"/>
      <c r="O13" s="19"/>
      <c r="P13" s="19"/>
      <c r="Q13" s="19"/>
      <c r="R13" s="19"/>
    </row>
    <row r="14" customFormat="false" ht="35.05" hidden="false" customHeight="false" outlineLevel="0" collapsed="false">
      <c r="A14" s="14" t="s">
        <v>157</v>
      </c>
      <c r="B14" s="15" t="s">
        <v>310</v>
      </c>
      <c r="C14" s="15" t="s">
        <v>339</v>
      </c>
      <c r="D14" s="15" t="s">
        <v>310</v>
      </c>
      <c r="E14" s="15" t="s">
        <v>312</v>
      </c>
      <c r="F14" s="16" t="n">
        <v>43</v>
      </c>
      <c r="G14" s="17" t="n">
        <v>30</v>
      </c>
      <c r="H14" s="18" t="n">
        <v>0.65</v>
      </c>
      <c r="I14" s="15" t="s">
        <v>313</v>
      </c>
      <c r="J14" s="15" t="s">
        <v>314</v>
      </c>
      <c r="K14" s="15"/>
      <c r="L14" s="15" t="s">
        <v>340</v>
      </c>
      <c r="M14" s="15" t="s">
        <v>289</v>
      </c>
      <c r="N14" s="19"/>
      <c r="O14" s="19"/>
      <c r="P14" s="19"/>
      <c r="Q14" s="19"/>
      <c r="R14" s="19"/>
    </row>
    <row r="15" customFormat="false" ht="35.05" hidden="false" customHeight="false" outlineLevel="0" collapsed="false">
      <c r="A15" s="14" t="s">
        <v>169</v>
      </c>
      <c r="B15" s="15" t="s">
        <v>341</v>
      </c>
      <c r="C15" s="15" t="s">
        <v>342</v>
      </c>
      <c r="D15" s="15" t="s">
        <v>341</v>
      </c>
      <c r="E15" s="15" t="s">
        <v>312</v>
      </c>
      <c r="F15" s="16" t="n">
        <v>44.3</v>
      </c>
      <c r="G15" s="17" t="n">
        <v>30.3</v>
      </c>
      <c r="H15" s="18" t="n">
        <v>0.87</v>
      </c>
      <c r="I15" s="15" t="s">
        <v>343</v>
      </c>
      <c r="J15" s="15" t="s">
        <v>314</v>
      </c>
      <c r="K15" s="15" t="s">
        <v>302</v>
      </c>
      <c r="L15" s="15" t="s">
        <v>344</v>
      </c>
      <c r="M15" s="15" t="s">
        <v>289</v>
      </c>
      <c r="N15" s="19"/>
      <c r="O15" s="19"/>
      <c r="P15" s="19"/>
      <c r="Q15" s="19"/>
      <c r="R15" s="19"/>
    </row>
    <row r="16" customFormat="false" ht="23.85" hidden="false" customHeight="false" outlineLevel="0" collapsed="false">
      <c r="A16" s="14" t="s">
        <v>191</v>
      </c>
      <c r="B16" s="15" t="s">
        <v>341</v>
      </c>
      <c r="C16" s="15" t="s">
        <v>345</v>
      </c>
      <c r="D16" s="15" t="s">
        <v>341</v>
      </c>
      <c r="E16" s="15" t="s">
        <v>312</v>
      </c>
      <c r="F16" s="16" t="n">
        <v>44.1</v>
      </c>
      <c r="G16" s="17" t="n">
        <v>30.1</v>
      </c>
      <c r="H16" s="18" t="n">
        <v>0.86</v>
      </c>
      <c r="I16" s="15" t="s">
        <v>343</v>
      </c>
      <c r="J16" s="15" t="s">
        <v>314</v>
      </c>
      <c r="K16" s="15"/>
      <c r="L16" s="15" t="s">
        <v>346</v>
      </c>
      <c r="M16" s="15" t="s">
        <v>289</v>
      </c>
      <c r="N16" s="19"/>
      <c r="O16" s="19"/>
      <c r="P16" s="19"/>
      <c r="Q16" s="19"/>
      <c r="R16" s="19"/>
    </row>
    <row r="17" customFormat="false" ht="35.05" hidden="false" customHeight="false" outlineLevel="0" collapsed="false">
      <c r="A17" s="14" t="s">
        <v>194</v>
      </c>
      <c r="B17" s="15" t="s">
        <v>341</v>
      </c>
      <c r="C17" s="15" t="s">
        <v>347</v>
      </c>
      <c r="D17" s="15" t="s">
        <v>341</v>
      </c>
      <c r="E17" s="15" t="s">
        <v>312</v>
      </c>
      <c r="F17" s="16" t="n">
        <v>43.2</v>
      </c>
      <c r="G17" s="17" t="n">
        <v>29.2</v>
      </c>
      <c r="H17" s="18" t="n">
        <v>0.86</v>
      </c>
      <c r="I17" s="15" t="s">
        <v>348</v>
      </c>
      <c r="J17" s="15" t="s">
        <v>314</v>
      </c>
      <c r="K17" s="15" t="s">
        <v>349</v>
      </c>
      <c r="L17" s="15" t="s">
        <v>344</v>
      </c>
      <c r="M17" s="15" t="s">
        <v>289</v>
      </c>
      <c r="N17" s="19"/>
      <c r="O17" s="19"/>
      <c r="P17" s="19"/>
      <c r="Q17" s="19"/>
      <c r="R17" s="19"/>
    </row>
    <row r="18" customFormat="false" ht="35.05" hidden="false" customHeight="false" outlineLevel="0" collapsed="false">
      <c r="A18" s="14" t="s">
        <v>205</v>
      </c>
      <c r="B18" s="15" t="s">
        <v>341</v>
      </c>
      <c r="C18" s="15" t="s">
        <v>324</v>
      </c>
      <c r="D18" s="15" t="s">
        <v>341</v>
      </c>
      <c r="E18" s="15" t="s">
        <v>312</v>
      </c>
      <c r="F18" s="16" t="n">
        <v>54</v>
      </c>
      <c r="G18" s="17" t="n">
        <v>39</v>
      </c>
      <c r="H18" s="18" t="n">
        <v>0.85</v>
      </c>
      <c r="I18" s="15" t="s">
        <v>348</v>
      </c>
      <c r="J18" s="15" t="s">
        <v>326</v>
      </c>
      <c r="K18" s="15"/>
      <c r="L18" s="15" t="s">
        <v>350</v>
      </c>
      <c r="M18" s="15" t="s">
        <v>289</v>
      </c>
      <c r="N18" s="19"/>
      <c r="O18" s="19"/>
      <c r="P18" s="19"/>
      <c r="Q18" s="19"/>
      <c r="R18" s="19"/>
    </row>
    <row r="19" customFormat="false" ht="35.05" hidden="false" customHeight="false" outlineLevel="0" collapsed="false">
      <c r="A19" s="14" t="s">
        <v>213</v>
      </c>
      <c r="B19" s="15" t="s">
        <v>341</v>
      </c>
      <c r="C19" s="15" t="s">
        <v>328</v>
      </c>
      <c r="D19" s="15" t="s">
        <v>341</v>
      </c>
      <c r="E19" s="15" t="s">
        <v>312</v>
      </c>
      <c r="F19" s="16" t="n">
        <v>48.9</v>
      </c>
      <c r="G19" s="17" t="n">
        <v>33.9</v>
      </c>
      <c r="H19" s="18" t="n">
        <v>0.85</v>
      </c>
      <c r="I19" s="15" t="s">
        <v>348</v>
      </c>
      <c r="J19" s="15" t="s">
        <v>330</v>
      </c>
      <c r="K19" s="15"/>
      <c r="L19" s="15" t="s">
        <v>351</v>
      </c>
      <c r="M19" s="15" t="s">
        <v>289</v>
      </c>
      <c r="N19" s="19"/>
      <c r="O19" s="19"/>
      <c r="P19" s="19"/>
      <c r="Q19" s="19"/>
      <c r="R19" s="19"/>
    </row>
    <row r="20" customFormat="false" ht="23.85" hidden="false" customHeight="false" outlineLevel="0" collapsed="false">
      <c r="A20" s="14" t="s">
        <v>216</v>
      </c>
      <c r="B20" s="15" t="s">
        <v>341</v>
      </c>
      <c r="C20" s="15" t="s">
        <v>352</v>
      </c>
      <c r="D20" s="15" t="s">
        <v>341</v>
      </c>
      <c r="E20" s="15" t="s">
        <v>312</v>
      </c>
      <c r="F20" s="16" t="n">
        <v>27.2</v>
      </c>
      <c r="G20" s="17" t="n">
        <v>18.2</v>
      </c>
      <c r="H20" s="18" t="n">
        <v>0.88</v>
      </c>
      <c r="I20" s="15" t="s">
        <v>343</v>
      </c>
      <c r="J20" s="15" t="s">
        <v>314</v>
      </c>
      <c r="K20" s="15"/>
      <c r="L20" s="15" t="s">
        <v>353</v>
      </c>
      <c r="M20" s="15" t="s">
        <v>289</v>
      </c>
      <c r="N20" s="19"/>
      <c r="O20" s="19"/>
      <c r="P20" s="19"/>
      <c r="Q20" s="19"/>
      <c r="R20" s="19"/>
    </row>
    <row r="21" customFormat="false" ht="23.85" hidden="false" customHeight="false" outlineLevel="0" collapsed="false">
      <c r="A21" s="14" t="s">
        <v>223</v>
      </c>
      <c r="B21" s="15" t="s">
        <v>354</v>
      </c>
      <c r="C21" s="15" t="s">
        <v>355</v>
      </c>
      <c r="D21" s="15" t="s">
        <v>310</v>
      </c>
      <c r="E21" s="15" t="s">
        <v>312</v>
      </c>
      <c r="F21" s="16" t="n">
        <v>43</v>
      </c>
      <c r="G21" s="17" t="n">
        <v>30</v>
      </c>
      <c r="H21" s="18" t="n">
        <v>0.65</v>
      </c>
      <c r="I21" s="15" t="s">
        <v>356</v>
      </c>
      <c r="J21" s="15" t="s">
        <v>357</v>
      </c>
      <c r="K21" s="15"/>
      <c r="L21" s="15" t="s">
        <v>358</v>
      </c>
      <c r="M21" s="15" t="s">
        <v>289</v>
      </c>
      <c r="N21" s="19"/>
      <c r="O21" s="19"/>
      <c r="P21" s="19"/>
      <c r="Q21" s="19"/>
      <c r="R21" s="19"/>
    </row>
    <row r="22" customFormat="false" ht="35.05" hidden="false" customHeight="false" outlineLevel="0" collapsed="false">
      <c r="A22" s="14" t="s">
        <v>229</v>
      </c>
      <c r="B22" s="15" t="s">
        <v>354</v>
      </c>
      <c r="C22" s="15" t="s">
        <v>359</v>
      </c>
      <c r="D22" s="15" t="s">
        <v>310</v>
      </c>
      <c r="E22" s="15" t="s">
        <v>312</v>
      </c>
      <c r="F22" s="16" t="n">
        <v>42.5</v>
      </c>
      <c r="G22" s="17" t="n">
        <v>29.5</v>
      </c>
      <c r="H22" s="18" t="n">
        <v>0.88</v>
      </c>
      <c r="I22" s="15" t="s">
        <v>360</v>
      </c>
      <c r="J22" s="15" t="s">
        <v>361</v>
      </c>
      <c r="K22" s="15"/>
      <c r="L22" s="15" t="s">
        <v>362</v>
      </c>
      <c r="M22" s="15" t="s">
        <v>289</v>
      </c>
      <c r="N22" s="19"/>
      <c r="O22" s="19"/>
      <c r="P22" s="19"/>
      <c r="Q22" s="19"/>
      <c r="R22" s="19"/>
    </row>
    <row r="23" customFormat="false" ht="23.85" hidden="false" customHeight="false" outlineLevel="0" collapsed="false">
      <c r="A23" s="14" t="s">
        <v>235</v>
      </c>
      <c r="B23" s="15" t="s">
        <v>354</v>
      </c>
      <c r="C23" s="15" t="s">
        <v>363</v>
      </c>
      <c r="D23" s="15" t="s">
        <v>310</v>
      </c>
      <c r="E23" s="15" t="s">
        <v>312</v>
      </c>
      <c r="F23" s="16" t="n">
        <v>26.3</v>
      </c>
      <c r="G23" s="17" t="n">
        <v>18.3</v>
      </c>
      <c r="H23" s="18" t="n">
        <v>0.88</v>
      </c>
      <c r="I23" s="15" t="s">
        <v>364</v>
      </c>
      <c r="J23" s="15" t="s">
        <v>334</v>
      </c>
      <c r="K23" s="15"/>
      <c r="L23" s="15" t="s">
        <v>365</v>
      </c>
      <c r="M23" s="15" t="s">
        <v>289</v>
      </c>
      <c r="N23" s="19"/>
      <c r="O23" s="19"/>
      <c r="P23" s="19"/>
      <c r="Q23" s="19"/>
      <c r="R23" s="19"/>
    </row>
    <row r="24" customFormat="false" ht="35.05" hidden="false" customHeight="false" outlineLevel="0" collapsed="false">
      <c r="A24" s="14" t="s">
        <v>241</v>
      </c>
      <c r="B24" s="15" t="s">
        <v>354</v>
      </c>
      <c r="C24" s="15" t="s">
        <v>366</v>
      </c>
      <c r="D24" s="15" t="s">
        <v>310</v>
      </c>
      <c r="E24" s="15" t="s">
        <v>312</v>
      </c>
      <c r="F24" s="16" t="n">
        <v>27.6</v>
      </c>
      <c r="G24" s="17" t="n">
        <v>18.6</v>
      </c>
      <c r="H24" s="18" t="n">
        <v>0.83</v>
      </c>
      <c r="I24" s="15" t="s">
        <v>367</v>
      </c>
      <c r="J24" s="15" t="s">
        <v>314</v>
      </c>
      <c r="K24" s="15"/>
      <c r="L24" s="15" t="s">
        <v>368</v>
      </c>
      <c r="M24" s="15" t="s">
        <v>289</v>
      </c>
      <c r="N24" s="19"/>
      <c r="O24" s="19"/>
      <c r="P24" s="19"/>
      <c r="Q24" s="19"/>
      <c r="R24" s="19"/>
    </row>
    <row r="25" customFormat="false" ht="102.2" hidden="false" customHeight="false" outlineLevel="0" collapsed="false">
      <c r="A25" s="14" t="s">
        <v>247</v>
      </c>
      <c r="B25" s="15" t="s">
        <v>354</v>
      </c>
      <c r="C25" s="15" t="s">
        <v>369</v>
      </c>
      <c r="D25" s="15" t="s">
        <v>310</v>
      </c>
      <c r="E25" s="15" t="s">
        <v>312</v>
      </c>
      <c r="F25" s="16" t="n">
        <v>43</v>
      </c>
      <c r="G25" s="17" t="n">
        <v>30</v>
      </c>
      <c r="H25" s="18" t="n">
        <v>0.62</v>
      </c>
      <c r="I25" s="15" t="s">
        <v>370</v>
      </c>
      <c r="J25" s="15" t="s">
        <v>314</v>
      </c>
      <c r="K25" s="15" t="s">
        <v>371</v>
      </c>
      <c r="L25" s="15" t="s">
        <v>372</v>
      </c>
      <c r="M25" s="15" t="s">
        <v>289</v>
      </c>
      <c r="N25" s="19"/>
      <c r="O25" s="19"/>
      <c r="P25" s="19"/>
      <c r="Q25" s="19"/>
      <c r="R25" s="19"/>
    </row>
    <row r="26" customFormat="false" ht="35.05" hidden="false" customHeight="false" outlineLevel="0" collapsed="false">
      <c r="A26" s="14" t="s">
        <v>250</v>
      </c>
      <c r="B26" s="15" t="s">
        <v>373</v>
      </c>
      <c r="C26" s="15" t="s">
        <v>374</v>
      </c>
      <c r="D26" s="15" t="s">
        <v>310</v>
      </c>
      <c r="E26" s="15" t="s">
        <v>312</v>
      </c>
      <c r="F26" s="16" t="n">
        <v>43.8</v>
      </c>
      <c r="G26" s="17" t="n">
        <v>30.8</v>
      </c>
      <c r="H26" s="18" t="n">
        <v>0.86</v>
      </c>
      <c r="I26" s="15" t="s">
        <v>375</v>
      </c>
      <c r="J26" s="15" t="s">
        <v>376</v>
      </c>
      <c r="K26" s="15"/>
      <c r="L26" s="15" t="s">
        <v>377</v>
      </c>
      <c r="M26" s="15" t="s">
        <v>289</v>
      </c>
      <c r="N26" s="19"/>
      <c r="O26" s="19"/>
      <c r="P26" s="19"/>
      <c r="Q26" s="19"/>
      <c r="R26" s="19"/>
    </row>
    <row r="27" customFormat="false" ht="23.85" hidden="false" customHeight="false" outlineLevel="0" collapsed="false">
      <c r="A27" s="14" t="s">
        <v>253</v>
      </c>
      <c r="B27" s="15" t="s">
        <v>373</v>
      </c>
      <c r="C27" s="15" t="s">
        <v>378</v>
      </c>
      <c r="D27" s="15" t="s">
        <v>310</v>
      </c>
      <c r="E27" s="15" t="s">
        <v>312</v>
      </c>
      <c r="F27" s="16" t="n">
        <v>44.7</v>
      </c>
      <c r="G27" s="17" t="n">
        <v>31.7</v>
      </c>
      <c r="H27" s="18" t="n">
        <v>0.91</v>
      </c>
      <c r="I27" s="15" t="s">
        <v>379</v>
      </c>
      <c r="J27" s="15" t="s">
        <v>334</v>
      </c>
      <c r="K27" s="15"/>
      <c r="L27" s="15" t="s">
        <v>380</v>
      </c>
      <c r="M27" s="15" t="s">
        <v>289</v>
      </c>
      <c r="N27" s="19"/>
      <c r="O27" s="19"/>
      <c r="P27" s="19"/>
      <c r="Q27" s="19"/>
      <c r="R27" s="19"/>
    </row>
    <row r="28" customFormat="false" ht="35.05" hidden="false" customHeight="false" outlineLevel="0" collapsed="false">
      <c r="A28" s="14" t="s">
        <v>257</v>
      </c>
      <c r="B28" s="15" t="s">
        <v>373</v>
      </c>
      <c r="C28" s="15" t="s">
        <v>381</v>
      </c>
      <c r="D28" s="15" t="s">
        <v>310</v>
      </c>
      <c r="E28" s="15" t="s">
        <v>312</v>
      </c>
      <c r="F28" s="16" t="n">
        <v>45.5</v>
      </c>
      <c r="G28" s="17" t="n">
        <v>32.5</v>
      </c>
      <c r="H28" s="18" t="n">
        <v>0.65</v>
      </c>
      <c r="I28" s="15" t="s">
        <v>333</v>
      </c>
      <c r="J28" s="15" t="s">
        <v>334</v>
      </c>
      <c r="K28" s="15"/>
      <c r="L28" s="15" t="s">
        <v>382</v>
      </c>
      <c r="M28" s="15" t="s">
        <v>289</v>
      </c>
      <c r="N28" s="19"/>
      <c r="O28" s="19"/>
      <c r="P28" s="19"/>
      <c r="Q28" s="19"/>
      <c r="R28" s="19"/>
    </row>
    <row r="29" customFormat="false" ht="68.65" hidden="false" customHeight="false" outlineLevel="0" collapsed="false">
      <c r="A29" s="14" t="s">
        <v>261</v>
      </c>
      <c r="B29" s="15" t="s">
        <v>373</v>
      </c>
      <c r="C29" s="15" t="s">
        <v>383</v>
      </c>
      <c r="D29" s="15" t="s">
        <v>310</v>
      </c>
      <c r="E29" s="15" t="s">
        <v>312</v>
      </c>
      <c r="F29" s="16" t="n">
        <v>23.5</v>
      </c>
      <c r="G29" s="17" t="n">
        <v>15.5</v>
      </c>
      <c r="H29" s="18" t="n">
        <v>0.77</v>
      </c>
      <c r="I29" s="15" t="s">
        <v>384</v>
      </c>
      <c r="J29" s="15" t="s">
        <v>385</v>
      </c>
      <c r="K29" s="15"/>
      <c r="L29" s="15" t="s">
        <v>386</v>
      </c>
      <c r="M29" s="15" t="s">
        <v>289</v>
      </c>
      <c r="N29" s="19"/>
      <c r="O29" s="19"/>
      <c r="P29" s="19"/>
      <c r="Q29" s="19"/>
      <c r="R29" s="19"/>
    </row>
  </sheetData>
  <autoFilter ref="A1:R29"/>
  <dataValidations count="4">
    <dataValidation allowBlank="true" errorStyle="stop" operator="between" showDropDown="false" showErrorMessage="false" showInputMessage="false" sqref="N2:N29" type="list">
      <formula1>"clear,questionable"</formula1>
      <formula2>0</formula2>
    </dataValidation>
    <dataValidation allowBlank="true" errorStyle="stop" operator="between" showDropDown="false" showErrorMessage="false" showInputMessage="false" sqref="O2:O29" type="list">
      <formula1>"clear,weak"</formula1>
      <formula2>0</formula2>
    </dataValidation>
    <dataValidation allowBlank="true" errorStyle="stop" operator="between" showDropDown="false" showErrorMessage="false" showInputMessage="false" sqref="P2:P29" type="list">
      <formula1>"good,questionable"</formula1>
      <formula2>0</formula2>
    </dataValidation>
    <dataValidation allowBlank="true" errorStyle="stop" operator="between" showDropDown="false" showErrorMessage="false" showInputMessage="false" sqref="Q2:Q29" type="list">
      <formula1>"none,possible"</formula1>
      <formula2>0</formula2>
    </dataValidation>
  </dataValidations>
  <hyperlinks>
    <hyperlink ref="A2" r:id="rId1" location="'Workouts'!A2" display="E1"/>
    <hyperlink ref="A3" r:id="rId2" location="'Workouts'!A6" display="E2"/>
    <hyperlink ref="A4" r:id="rId3" location="'Workouts'!A10" display="E3"/>
    <hyperlink ref="A5" r:id="rId4" location="'Workouts'!A13" display="E4"/>
    <hyperlink ref="A6" r:id="rId5" location="'Workouts'!A19" display="E5"/>
    <hyperlink ref="A7" r:id="rId6" location="'Workouts'!A23" display="C1"/>
    <hyperlink ref="A8" r:id="rId7" location="'Workouts'!A31" display="C2"/>
    <hyperlink ref="A9" r:id="rId8" location="'Workouts'!A38" display="C3"/>
    <hyperlink ref="A10" r:id="rId9" location="'Workouts'!A47" display="C4"/>
    <hyperlink ref="A11" r:id="rId10" location="'Workouts'!A57" display="C5"/>
    <hyperlink ref="A12" r:id="rId11" location="'Workouts'!A67" display="C6"/>
    <hyperlink ref="A13" r:id="rId12" location="'Workouts'!A74" display="C7"/>
    <hyperlink ref="A14" r:id="rId13" location="'Workouts'!A81" display="C8"/>
    <hyperlink ref="A15" r:id="rId14" location="'Workouts'!A89" display="H1"/>
    <hyperlink ref="A16" r:id="rId15" location="'Workouts'!A100" display="H2"/>
    <hyperlink ref="A17" r:id="rId16" location="'Workouts'!A111" display="H3"/>
    <hyperlink ref="A18" r:id="rId17" location="'Workouts'!A122" display="H4"/>
    <hyperlink ref="A19" r:id="rId18" location="'Workouts'!A136" display="H5"/>
    <hyperlink ref="A20" r:id="rId19" location="'Workouts'!A149" display="H6"/>
    <hyperlink ref="A21" r:id="rId20" location="'Workouts'!A154" display="X1"/>
    <hyperlink ref="A22" r:id="rId21" location="'Workouts'!A162" display="X2"/>
    <hyperlink ref="A23" r:id="rId22" location="'Workouts'!A169" display="X3"/>
    <hyperlink ref="A24" r:id="rId23" location="'Workouts'!A175" display="X4"/>
    <hyperlink ref="A25" r:id="rId24" location="'Workouts'!A182" display="X5"/>
    <hyperlink ref="A26" r:id="rId25" location="'Workouts'!A190" display="A1"/>
    <hyperlink ref="A27" r:id="rId26" location="'Workouts'!A197" display="A2"/>
    <hyperlink ref="A28" r:id="rId27" location="'Workouts'!A204" display="A3"/>
    <hyperlink ref="A29" r:id="rId28" location="'Workouts'!A211" display="A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20" t="s">
        <v>387</v>
      </c>
      <c r="B1" s="20" t="s">
        <v>388</v>
      </c>
      <c r="C1" s="20" t="s">
        <v>389</v>
      </c>
      <c r="D1" s="20" t="s">
        <v>390</v>
      </c>
      <c r="E1" s="20" t="s">
        <v>391</v>
      </c>
      <c r="F1" s="20" t="s">
        <v>392</v>
      </c>
    </row>
    <row r="2" customFormat="false" ht="15" hidden="false" customHeight="false" outlineLevel="0" collapsed="false">
      <c r="A2" s="2" t="s">
        <v>277</v>
      </c>
      <c r="B2" s="2" t="s">
        <v>393</v>
      </c>
      <c r="C2" s="2" t="n">
        <f aca="false">COUNTIF(Review!N2:N29,B2)</f>
        <v>0</v>
      </c>
      <c r="D2" s="2" t="s">
        <v>394</v>
      </c>
      <c r="E2" s="2" t="n">
        <f aca="false">COUNTIF(Review!N2:N29,D2)</f>
        <v>0</v>
      </c>
      <c r="F2" s="2" t="n">
        <f aca="false">COUNTBLANK(Review!N2:N29)</f>
        <v>28</v>
      </c>
    </row>
    <row r="3" customFormat="false" ht="15" hidden="false" customHeight="false" outlineLevel="0" collapsed="false">
      <c r="A3" s="2" t="s">
        <v>278</v>
      </c>
      <c r="B3" s="2" t="s">
        <v>393</v>
      </c>
      <c r="C3" s="2" t="n">
        <f aca="false">COUNTIF(Review!O2:O29,B3)</f>
        <v>0</v>
      </c>
      <c r="D3" s="2" t="s">
        <v>395</v>
      </c>
      <c r="E3" s="2" t="n">
        <f aca="false">COUNTIF(Review!O2:O29,D3)</f>
        <v>0</v>
      </c>
      <c r="F3" s="2" t="n">
        <f aca="false">COUNTBLANK(Review!O2:O29)</f>
        <v>28</v>
      </c>
    </row>
    <row r="4" customFormat="false" ht="15" hidden="false" customHeight="false" outlineLevel="0" collapsed="false">
      <c r="A4" s="2" t="s">
        <v>279</v>
      </c>
      <c r="B4" s="2" t="s">
        <v>396</v>
      </c>
      <c r="C4" s="2" t="n">
        <f aca="false">COUNTIF(Review!P2:P29,B4)</f>
        <v>0</v>
      </c>
      <c r="D4" s="2" t="s">
        <v>394</v>
      </c>
      <c r="E4" s="2" t="n">
        <f aca="false">COUNTIF(Review!P2:P29,D4)</f>
        <v>0</v>
      </c>
      <c r="F4" s="2" t="n">
        <f aca="false">COUNTBLANK(Review!P2:P29)</f>
        <v>28</v>
      </c>
    </row>
    <row r="5" customFormat="false" ht="15" hidden="false" customHeight="false" outlineLevel="0" collapsed="false">
      <c r="A5" s="2" t="s">
        <v>280</v>
      </c>
      <c r="B5" s="2" t="s">
        <v>289</v>
      </c>
      <c r="C5" s="2" t="n">
        <f aca="false">COUNTIF(Review!Q2:Q29,B5)</f>
        <v>0</v>
      </c>
      <c r="D5" s="2" t="s">
        <v>397</v>
      </c>
      <c r="E5" s="2" t="n">
        <f aca="false">COUNTIF(Review!Q2:Q29,D5)</f>
        <v>0</v>
      </c>
      <c r="F5" s="2" t="n">
        <f aca="false">COUNTBLANK(Review!Q2:Q29)</f>
        <v>28</v>
      </c>
    </row>
    <row r="6" customFormat="false" ht="15" hidden="false" customHeight="false" outlineLevel="0" collapsed="false">
      <c r="A6" s="2"/>
      <c r="B6" s="2"/>
      <c r="C6" s="2"/>
      <c r="D6" s="2"/>
      <c r="E6" s="2"/>
      <c r="F6" s="2"/>
    </row>
    <row r="7" customFormat="false" ht="15" hidden="false" customHeight="false" outlineLevel="0" collapsed="false">
      <c r="A7" s="2" t="s">
        <v>398</v>
      </c>
      <c r="B7" s="2" t="n">
        <f aca="false">COUNTA(Review!A2:A29)</f>
        <v>28</v>
      </c>
      <c r="C7" s="2"/>
      <c r="D7" s="2"/>
      <c r="E7" s="2"/>
      <c r="F7" s="2"/>
    </row>
    <row r="8" customFormat="false" ht="15" hidden="false" customHeight="false" outlineLevel="0" collapsed="false">
      <c r="A8" s="2" t="s">
        <v>399</v>
      </c>
      <c r="B8" s="2" t="n">
        <f aca="false">COUNTIF(Review!M2:M29,"&lt;&gt;none")</f>
        <v>0</v>
      </c>
      <c r="C8" s="2"/>
      <c r="D8" s="2"/>
      <c r="E8" s="2"/>
      <c r="F8" s="2"/>
    </row>
    <row r="9" customFormat="false" ht="15" hidden="false" customHeight="false" outlineLevel="0" collapsed="false">
      <c r="A9" s="2" t="s">
        <v>400</v>
      </c>
      <c r="B9" s="2" t="n">
        <f aca="false">AVERAGE(Review!H2:H29)</f>
        <v>0.848571428571429</v>
      </c>
      <c r="C9" s="2"/>
      <c r="D9" s="2"/>
      <c r="E9" s="2"/>
      <c r="F9" s="2"/>
    </row>
    <row r="10" customFormat="false" ht="15" hidden="false" customHeight="false" outlineLevel="0" collapsed="false">
      <c r="A10" s="2" t="s">
        <v>401</v>
      </c>
      <c r="B10" s="21" t="n">
        <f aca="false">MIN(Review!H2:H29)</f>
        <v>0.62</v>
      </c>
      <c r="C10" s="2"/>
      <c r="D10" s="2"/>
      <c r="E10" s="2"/>
      <c r="F10" s="2"/>
    </row>
    <row r="11" customFormat="false" ht="15" hidden="false" customHeight="false" outlineLevel="0" collapsed="false">
      <c r="B11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0"/>
  </cols>
  <sheetData>
    <row r="1" customFormat="false" ht="15" hidden="false" customHeight="false" outlineLevel="0" collapsed="false">
      <c r="B1" s="23" t="s">
        <v>402</v>
      </c>
    </row>
    <row r="2" customFormat="false" ht="23.85" hidden="false" customHeight="false" outlineLevel="0" collapsed="false">
      <c r="B2" s="24" t="s">
        <v>403</v>
      </c>
    </row>
    <row r="3" customFormat="false" ht="15" hidden="false" customHeight="false" outlineLevel="0" collapsed="false">
      <c r="B3" s="24" t="s">
        <v>404</v>
      </c>
    </row>
    <row r="4" customFormat="false" ht="15" hidden="false" customHeight="false" outlineLevel="0" collapsed="false">
      <c r="A4" s="3" t="n">
        <v>1</v>
      </c>
      <c r="B4" s="25" t="s">
        <v>405</v>
      </c>
    </row>
    <row r="5" customFormat="false" ht="15" hidden="false" customHeight="false" outlineLevel="0" collapsed="false">
      <c r="B5" s="24" t="s">
        <v>406</v>
      </c>
    </row>
    <row r="6" customFormat="false" ht="15" hidden="false" customHeight="false" outlineLevel="0" collapsed="false">
      <c r="B6" s="24" t="s">
        <v>407</v>
      </c>
    </row>
    <row r="7" customFormat="false" ht="15" hidden="false" customHeight="false" outlineLevel="0" collapsed="false">
      <c r="B7" s="24" t="s">
        <v>408</v>
      </c>
    </row>
    <row r="8" customFormat="false" ht="15" hidden="false" customHeight="false" outlineLevel="0" collapsed="false">
      <c r="B8" s="24" t="s">
        <v>409</v>
      </c>
    </row>
    <row r="9" customFormat="false" ht="15" hidden="false" customHeight="false" outlineLevel="0" collapsed="false">
      <c r="B9" s="24" t="s">
        <v>410</v>
      </c>
    </row>
    <row r="10" customFormat="false" ht="15" hidden="false" customHeight="false" outlineLevel="0" collapsed="false">
      <c r="B10" s="24" t="s">
        <v>411</v>
      </c>
    </row>
    <row r="11" customFormat="false" ht="23.85" hidden="false" customHeight="false" outlineLevel="0" collapsed="false">
      <c r="A11" s="3" t="n">
        <v>2</v>
      </c>
      <c r="B11" s="24" t="s">
        <v>412</v>
      </c>
    </row>
    <row r="12" customFormat="false" ht="15" hidden="false" customHeight="false" outlineLevel="0" collapsed="false">
      <c r="A12" s="3" t="n">
        <v>3</v>
      </c>
      <c r="B12" s="24" t="s">
        <v>413</v>
      </c>
    </row>
    <row r="13" customFormat="false" ht="15" hidden="false" customHeight="false" outlineLevel="0" collapsed="false">
      <c r="B13" s="24" t="s">
        <v>414</v>
      </c>
    </row>
    <row r="14" customFormat="false" ht="15" hidden="false" customHeight="false" outlineLevel="0" collapsed="false">
      <c r="B14" s="24" t="s">
        <v>415</v>
      </c>
    </row>
    <row r="15" customFormat="false" ht="15" hidden="false" customHeight="false" outlineLevel="0" collapsed="false">
      <c r="B15" s="24" t="s">
        <v>416</v>
      </c>
    </row>
    <row r="16" customFormat="false" ht="23.85" hidden="false" customHeight="false" outlineLevel="0" collapsed="false">
      <c r="A16" s="3" t="n">
        <v>4</v>
      </c>
      <c r="B16" s="24" t="s">
        <v>417</v>
      </c>
    </row>
    <row r="17" customFormat="false" ht="23.85" hidden="false" customHeight="false" outlineLevel="0" collapsed="false">
      <c r="A17" s="3" t="n">
        <v>5</v>
      </c>
      <c r="B17" s="24" t="s">
        <v>418</v>
      </c>
    </row>
    <row r="18" customFormat="false" ht="23.85" hidden="false" customHeight="false" outlineLevel="0" collapsed="false">
      <c r="A18" s="3" t="n">
        <v>6</v>
      </c>
      <c r="B18" s="24" t="s">
        <v>419</v>
      </c>
    </row>
    <row r="19" customFormat="false" ht="23.85" hidden="false" customHeight="false" outlineLevel="0" collapsed="false">
      <c r="A19" s="3" t="n">
        <v>7</v>
      </c>
      <c r="B19" s="24" t="s">
        <v>420</v>
      </c>
    </row>
    <row r="20" customFormat="false" ht="23.85" hidden="false" customHeight="false" outlineLevel="0" collapsed="false">
      <c r="A20" s="3" t="n">
        <v>8</v>
      </c>
      <c r="B20" s="24" t="s">
        <v>421</v>
      </c>
    </row>
    <row r="21" customFormat="false" ht="15" hidden="false" customHeight="false" outlineLevel="0" collapsed="false">
      <c r="A21" s="3" t="n">
        <v>9</v>
      </c>
      <c r="B21" s="24" t="s">
        <v>422</v>
      </c>
    </row>
    <row r="22" customFormat="false" ht="15" hidden="false" customHeight="false" outlineLevel="0" collapsed="false">
      <c r="B22" s="24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2026-09-23T18:44:47Z</dcterms:created>
  <dc:creator>openpyxl</dc:creator>
  <dc:description/>
  <dc:language>en-US</dc:language>
  <cp:lastModifiedBy/>
  <dcterms:modified xsi:type="dcterms:W3CDTF">2026-09-23T18:44:47Z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