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Workouts" sheetId="2" state="visible" r:id="rId2"/>
    <sheet xmlns:r="http://schemas.openxmlformats.org/officeDocument/2006/relationships" name="Founder Test" sheetId="3" state="visible" r:id="rId3"/>
    <sheet xmlns:r="http://schemas.openxmlformats.org/officeDocument/2006/relationships" name="Key" sheetId="4" state="visible" r:id="rId4"/>
    <sheet xmlns:r="http://schemas.openxmlformats.org/officeDocument/2006/relationships" name="Legacy vs Rebuilt" sheetId="5" state="visible" r:id="rId5"/>
    <sheet xmlns:r="http://schemas.openxmlformats.org/officeDocument/2006/relationships" name="Summary"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6"/>
  <sheetViews>
    <sheetView workbookViewId="0">
      <pane ySplit="1" topLeftCell="A2" activePane="bottomLeft" state="frozen"/>
      <selection pane="bottomLeft" activeCell="A1" sqref="A1"/>
    </sheetView>
  </sheetViews>
  <sheetFormatPr baseColWidth="8" defaultRowHeight="15"/>
  <cols>
    <col width="120" customWidth="1" min="1" max="1"/>
  </cols>
  <sheetData>
    <row r="1">
      <c r="A1" s="1" t="inlineStr">
        <is>
          <t>MOOD V3 Strength Core review pack (personalization pass)</t>
        </is>
      </c>
    </row>
    <row r="2">
      <c r="A2" s="2" t="inlineStr">
        <is>
          <t>Every workout came through the production path (service.generate_workout) with the rebuilt Strength core after the personalization pass. Same seed reproduces the same workout.</t>
        </is>
      </c>
    </row>
    <row r="3">
      <c r="A3" s="2" t="inlineStr">
        <is>
          <t>Workouts sheet: one row per case. Columns: context (State, level, goal, target, duration, soreness, equipment, history), workout (set methods inline), WHY THIS FITS TODAY (exact app text), REALIZED PERSONALIZATION (contract), State gate trace, then Rating and Notes for you.</t>
        </is>
      </c>
    </row>
    <row r="4">
      <c r="A4" s="2" t="inlineStr">
        <is>
          <t>Founder Test sheet: 20 random workouts with the State hidden. Fill 'Your State guess' and 'Defensible?' then compare with the Key sheet.</t>
        </is>
      </c>
    </row>
    <row r="5">
      <c r="A5" s="2" t="inlineStr">
        <is>
          <t>Legacy vs Rebuilt sheet: 10 identical inputs through the Phase 2.6 engine and the rebuilt core.</t>
        </is>
      </c>
    </row>
    <row r="6">
      <c r="A6" s="2" t="inlineStr">
        <is>
          <t>Summary sheet: the QA metrics over the 4,470-run sample (State satisfaction, fallback, truthfulness, level, goal, fingerprints, set methods, regression).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64"/>
  <sheetViews>
    <sheetView workbookViewId="0">
      <pane ySplit="1" topLeftCell="A2" activePane="bottomLeft" state="frozen"/>
      <selection pane="bottomLeft" activeCell="A1" sqref="A1"/>
    </sheetView>
  </sheetViews>
  <sheetFormatPr baseColWidth="8" defaultRowHeight="15"/>
  <cols>
    <col width="26" customWidth="1" min="1" max="1"/>
    <col width="34" customWidth="1" min="2" max="2"/>
    <col width="16" customWidth="1" min="3" max="3"/>
    <col width="16" customWidth="1" min="4" max="4"/>
    <col width="12" customWidth="1" min="5" max="5"/>
    <col width="20" customWidth="1" min="6" max="6"/>
    <col width="9" customWidth="1" min="7" max="7"/>
    <col width="22" customWidth="1" min="8" max="8"/>
    <col width="12" customWidth="1" min="9" max="9"/>
    <col width="22" customWidth="1" min="10" max="10"/>
    <col width="18" customWidth="1" min="11" max="11"/>
    <col width="22" customWidth="1" min="12" max="12"/>
    <col width="8" customWidth="1" min="13" max="13"/>
    <col width="6" customWidth="1" min="14" max="14"/>
    <col width="16" customWidth="1" min="15" max="15"/>
    <col width="60" customWidth="1" min="16" max="16"/>
    <col width="60" customWidth="1" min="17" max="17"/>
    <col width="70" customWidth="1" min="18" max="18"/>
    <col width="50" customWidth="1" min="19" max="19"/>
    <col width="40" customWidth="1" min="20" max="20"/>
    <col width="10" customWidth="1" min="21" max="21"/>
    <col width="40" customWidth="1" min="22" max="22"/>
  </cols>
  <sheetData>
    <row r="1">
      <c r="A1" s="1" t="inlineStr">
        <is>
          <t>Section</t>
        </is>
      </c>
      <c r="B1" s="1" t="inlineStr">
        <is>
          <t>Case</t>
        </is>
      </c>
      <c r="C1" s="1" t="inlineStr">
        <is>
          <t>Seed</t>
        </is>
      </c>
      <c r="D1" s="1" t="inlineStr">
        <is>
          <t>State(s)</t>
        </is>
      </c>
      <c r="E1" s="1" t="inlineStr">
        <is>
          <t>Level</t>
        </is>
      </c>
      <c r="F1" s="1" t="inlineStr">
        <is>
          <t>Goal</t>
        </is>
      </c>
      <c r="G1" s="1" t="inlineStr">
        <is>
          <t>Duration</t>
        </is>
      </c>
      <c r="H1" s="1" t="inlineStr">
        <is>
          <t>Target / archetype</t>
        </is>
      </c>
      <c r="I1" s="1" t="inlineStr">
        <is>
          <t>Soreness</t>
        </is>
      </c>
      <c r="J1" s="1" t="inlineStr">
        <is>
          <t>History</t>
        </is>
      </c>
      <c r="K1" s="1" t="inlineStr">
        <is>
          <t>Archetype built</t>
        </is>
      </c>
      <c r="L1" s="1" t="inlineStr">
        <is>
          <t>Variant</t>
        </is>
      </c>
      <c r="M1" s="1" t="inlineStr">
        <is>
          <t>Est. min</t>
        </is>
      </c>
      <c r="N1" s="1" t="inlineStr">
        <is>
          <t>Sets</t>
        </is>
      </c>
      <c r="O1" s="1" t="inlineStr">
        <is>
          <t>Set methods</t>
        </is>
      </c>
      <c r="P1" s="1" t="inlineStr">
        <is>
          <t>Workout</t>
        </is>
      </c>
      <c r="Q1" s="1" t="inlineStr">
        <is>
          <t>WHY THIS FITS TODAY</t>
        </is>
      </c>
      <c r="R1" s="1" t="inlineStr">
        <is>
          <t>REALIZED PERSONALIZATION</t>
        </is>
      </c>
      <c r="S1" s="1" t="inlineStr">
        <is>
          <t>State gate</t>
        </is>
      </c>
      <c r="T1" s="1" t="inlineStr">
        <is>
          <t>Other Built for Today lines</t>
        </is>
      </c>
      <c r="U1" s="1" t="inlineStr">
        <is>
          <t>Rating (1-5)</t>
        </is>
      </c>
      <c r="V1" s="1" t="inlineStr">
        <is>
          <t>Notes</t>
        </is>
      </c>
    </row>
    <row r="2">
      <c r="A2" s="2" t="inlineStr">
        <is>
          <t>A. No State (level and goal carry the session)</t>
        </is>
      </c>
      <c r="B2" s="2" t="inlineStr">
        <is>
          <t>Upper Push, 60, intermediate, build muscle</t>
        </is>
      </c>
      <c r="C2" s="2" t="inlineStr">
        <is>
          <t>wes / 2026-10-14</t>
        </is>
      </c>
      <c r="D2" s="2" t="inlineStr">
        <is>
          <t>none</t>
        </is>
      </c>
      <c r="E2" s="2" t="inlineStr">
        <is>
          <t>intermediate</t>
        </is>
      </c>
      <c r="F2" s="2" t="inlineStr">
        <is>
          <t>Build muscle</t>
        </is>
      </c>
      <c r="G2" s="2" t="n">
        <v>60</v>
      </c>
      <c r="H2" s="2" t="inlineStr">
        <is>
          <t>Upper Push</t>
        </is>
      </c>
      <c r="I2" s="2" t="inlineStr">
        <is>
          <t>none</t>
        </is>
      </c>
      <c r="J2" s="2" t="inlineStr">
        <is>
          <t>first session</t>
        </is>
      </c>
      <c r="K2" s="2" t="inlineStr">
        <is>
          <t>Upper Push</t>
        </is>
      </c>
      <c r="L2" s="2" t="inlineStr">
        <is>
          <t>Compound + Paired Accessories</t>
        </is>
      </c>
      <c r="M2" s="2" t="n">
        <v>59.3</v>
      </c>
      <c r="N2" s="2" t="n">
        <v>24</v>
      </c>
      <c r="O2" s="2" t="inlineStr"/>
      <c r="P2" s="2" t="inlineStr">
        <is>
          <t>Barbell Bench Press: 4 × 5–7  RIR 2  rest 180 s
Parallel Bar Dip: 4 × 8–10  RIR 2  rest 120 s
Smith Machine Incline Press: 4 × 8–10  RIR 2  rest 120 s
SUPERSET A (4 rounds, rest 60 s after each round)
  A1 Dumbbell Fly: 4 × 12–15  RIR 1
  A2 Cable Triceps Pressdown: 4 × 12–15  RIR 1
EZ-Bar Skull Crusher: 4 × 12–15  RIR 1  rest 60 s</t>
        </is>
      </c>
      <c r="Q2" s="2" t="inlineStr">
        <is>
          <t>Your muscle goal is why 3 accessory movements sit behind the main lifts.</t>
        </is>
      </c>
      <c r="R2" s="2" t="inlineStr">
        <is>
          <t>experience = intermediate → intended: match_programming_vocabulary_to_level → realized: intermediate pool: Barbell Bench Press, Parallel Bar Dip
goal = build_muscle → intended: hypertrophy_volume_and_accessories → realized: Compound + Paired Accessories shape (muscle goal weights it up); 3 accessory movements behind the main lift, 12 accessory sets in the 10–20 range
duration = 60 → intended: fill_the_requested_time_with_useful_work → realized: estimated 59.3 min for a 60-minute request
equipment = commercial_gym → intended: availability_only → realized: nothing (no claim made)
history = first session → intended: rotate_shape_and_movements_keep_the_main_lift → realized: nothing (no claim made)</t>
        </is>
      </c>
      <c r="S2" s="2" t="inlineStr">
        <is>
          <t>no State</t>
        </is>
      </c>
      <c r="T2" s="2" t="inlineStr">
        <is>
          <t>Barbell Bench Press (4 × 5–7) leads as the main lift, then 2 strength lifts and 3 accessories, with part of it run as a superset.
24 working sets across 6 exercises, about 59 minutes.
Main work stops about 2 reps short of failure, accessories about 1 rep short of failure.
Intermediate difficulty: every movement is within the intermediate complexity and skill limits.
Your profile goal is to build muscle; today's Strength session is built from today's choices.</t>
        </is>
      </c>
      <c r="U2" s="2" t="n"/>
      <c r="V2" s="2" t="n"/>
    </row>
    <row r="3">
      <c r="A3" s="2" t="inlineStr">
        <is>
          <t>A. No State (level and goal carry the session)</t>
        </is>
      </c>
      <c r="B3" s="2" t="inlineStr">
        <is>
          <t>Upper Push, 60, beginner, build muscle (same seed)</t>
        </is>
      </c>
      <c r="C3" s="2" t="inlineStr">
        <is>
          <t>wes / 2026-10-14</t>
        </is>
      </c>
      <c r="D3" s="2" t="inlineStr">
        <is>
          <t>none</t>
        </is>
      </c>
      <c r="E3" s="2" t="inlineStr">
        <is>
          <t>beginner</t>
        </is>
      </c>
      <c r="F3" s="2" t="inlineStr">
        <is>
          <t>Build muscle</t>
        </is>
      </c>
      <c r="G3" s="2" t="n">
        <v>60</v>
      </c>
      <c r="H3" s="2" t="inlineStr">
        <is>
          <t>Upper Push</t>
        </is>
      </c>
      <c r="I3" s="2" t="inlineStr">
        <is>
          <t>none</t>
        </is>
      </c>
      <c r="J3" s="2" t="inlineStr">
        <is>
          <t>first session</t>
        </is>
      </c>
      <c r="K3" s="2" t="inlineStr">
        <is>
          <t>Upper Push</t>
        </is>
      </c>
      <c r="L3" s="2" t="inlineStr">
        <is>
          <t>Compound + Paired Accessories</t>
        </is>
      </c>
      <c r="M3" s="2" t="n">
        <v>56.4</v>
      </c>
      <c r="N3" s="2" t="n">
        <v>21</v>
      </c>
      <c r="O3" s="2" t="inlineStr"/>
      <c r="P3" s="2" t="inlineStr">
        <is>
          <t>Incline Dumbbell Press: 4 × 6–8  RIR 2  rest 150 s
Seated Dumbbell Shoulder Press: 4 × 10–12  RIR 2  rest 120 s
Push-Up: 4 × 8–12  RIR 2  rest 120 s
SUPERSET A (3 rounds, rest 60 s after each round)
  A1 Pec Deck: 3 × 15–20  RIR 2
  A2 EZ-Bar Skull Crusher: 3 × 15–20  RIR 2
Cable Triceps Pressdown: 3 × 15–20  RIR 2  rest 60 s</t>
        </is>
      </c>
      <c r="Q3" s="2" t="inlineStr">
        <is>
          <t>Since you're newer to lifting, the main work keeps at least two reps in reserve and the movements stay approachable, and your muscle goal is why 3 accessory movements sit behind the main lifts.</t>
        </is>
      </c>
      <c r="R3" s="2" t="inlineStr">
        <is>
          <t>experience = beginner → intended: match_programming_vocabulary_to_level → realized: beginner bands: every lift keeps 2+ reps in reserve, no exercise above 4 sets; beginner-rated, low-complexity movements only; no advanced set methods
goal = build_muscle → intended: hypertrophy_volume_and_accessories → realized: Compound + Paired Accessories shape (muscle goal weights it up); 3 accessory movements behind the main lift, 9 accessory sets in the 10–20 range
duration = 60 → intended: fill_the_requested_time_with_useful_work → realized: estimated 56.4 min for a 60-minute request
equipment = commercial_gym → intended: availability_only → realized: nothing (no claim made)
history = first session → intended: rotate_shape_and_movements_keep_the_main_lift → realized: nothing (no claim made)</t>
        </is>
      </c>
      <c r="S3" s="2" t="inlineStr">
        <is>
          <t>no State</t>
        </is>
      </c>
      <c r="T3" s="2" t="inlineStr">
        <is>
          <t>Beginner difficulty applies MOOD's beginner exercise rules: all 6 movements are beginner-rated and technically approachable.
Incline Dumbbell Press (4 × 6–8) leads as the main lift, then 2 strength lifts and 3 accessories, with part of it run as a superset.
21 working sets across 6 exercises, about 56 minutes.
Main work stops about 2 reps short of failure.
Your profile goal is to build muscle; today's Strength session is built from today's choices.</t>
        </is>
      </c>
      <c r="U3" s="2" t="n"/>
      <c r="V3" s="2" t="n"/>
    </row>
    <row r="4">
      <c r="A4" s="2" t="inlineStr">
        <is>
          <t>A. No State (level and goal carry the session)</t>
        </is>
      </c>
      <c r="B4" s="2" t="inlineStr">
        <is>
          <t>Upper Push, 60, advanced, build muscle (same seed)</t>
        </is>
      </c>
      <c r="C4" s="2" t="inlineStr">
        <is>
          <t>wes / 2026-10-14</t>
        </is>
      </c>
      <c r="D4" s="2" t="inlineStr">
        <is>
          <t>none</t>
        </is>
      </c>
      <c r="E4" s="2" t="inlineStr">
        <is>
          <t>advanced</t>
        </is>
      </c>
      <c r="F4" s="2" t="inlineStr">
        <is>
          <t>Build muscle</t>
        </is>
      </c>
      <c r="G4" s="2" t="n">
        <v>60</v>
      </c>
      <c r="H4" s="2" t="inlineStr">
        <is>
          <t>Upper Push</t>
        </is>
      </c>
      <c r="I4" s="2" t="inlineStr">
        <is>
          <t>none</t>
        </is>
      </c>
      <c r="J4" s="2" t="inlineStr">
        <is>
          <t>first session</t>
        </is>
      </c>
      <c r="K4" s="2" t="inlineStr">
        <is>
          <t>Upper Push</t>
        </is>
      </c>
      <c r="L4" s="2" t="inlineStr">
        <is>
          <t>Compound + Paired Accessories</t>
        </is>
      </c>
      <c r="M4" s="2" t="n">
        <v>59.3</v>
      </c>
      <c r="N4" s="2" t="n">
        <v>24</v>
      </c>
      <c r="O4" s="2" t="inlineStr"/>
      <c r="P4" s="2" t="inlineStr">
        <is>
          <t>Barbell Bench Press: 4 × 5–7  RIR 1  rest 180 s
Parallel Bar Dip: 4 × 8–10  RIR 2  rest 120 s
Smith Machine Incline Press: 4 × 8–10  RIR 2  rest 120 s
SUPERSET A (4 rounds, rest 60 s after each round)
  A1 Dumbbell Fly: 4 × 12–15  RIR 1
  A2 Cable Triceps Pressdown: 4 × 12–15  RIR 1
EZ-Bar Skull Crusher: 4 × 12–15  RIR 1  rest 60 s</t>
        </is>
      </c>
      <c r="Q4" s="2" t="inlineStr">
        <is>
          <t>Since you're an advanced lifter, Barbell Bench Press runs to a rep from failure, and your muscle goal is why 3 accessory movements sit behind the main lifts.</t>
        </is>
      </c>
      <c r="R4" s="2" t="inlineStr">
        <is>
          <t>experience = advanced → intended: match_programming_vocabulary_to_level → realized: Barbell Bench Press runs to RIR 1 (advanced band position); higher-complexity movements kept in: Barbell Bench Press, Parallel Bar Dip
goal = build_muscle → intended: hypertrophy_volume_and_accessories → realized: Compound + Paired Accessories shape (muscle goal weights it up); 3 accessory movements behind the main lift, 12 accessory sets in the 10–20 range
duration = 60 → intended: fill_the_requested_time_with_useful_work → realized: estimated 59.3 min for a 60-minute request
equipment = commercial_gym → intended: availability_only → realized: nothing (no claim made)
history = first session → intended: rotate_shape_and_movements_keep_the_main_lift → realized: nothing (no claim made)</t>
        </is>
      </c>
      <c r="S4" s="2" t="inlineStr">
        <is>
          <t>no State</t>
        </is>
      </c>
      <c r="T4" s="2" t="inlineStr">
        <is>
          <t>Barbell Bench Press (4 × 5–7) leads as the main lift, then 2 strength lifts and 3 accessories, with part of it run as a superset.
24 working sets across 6 exercises, about 59 minutes.
Main work stops about 1 rep short of failure.
Advanced difficulty keeps the full exercise range open; today the best fits sit within it without needing the most complex options.
Your profile goal is to build muscle; today's Strength session is built from today's choices.</t>
        </is>
      </c>
      <c r="U4" s="2" t="n"/>
      <c r="V4" s="2" t="n"/>
    </row>
    <row r="5">
      <c r="A5" s="2" t="inlineStr">
        <is>
          <t>A. No State (level and goal carry the session)</t>
        </is>
      </c>
      <c r="B5" s="2" t="inlineStr">
        <is>
          <t>Lower Body: Squat, 60, intermediate, build strength</t>
        </is>
      </c>
      <c r="C5" s="2" t="inlineStr">
        <is>
          <t>wes / 2026-10-15</t>
        </is>
      </c>
      <c r="D5" s="2" t="inlineStr">
        <is>
          <t>none</t>
        </is>
      </c>
      <c r="E5" s="2" t="inlineStr">
        <is>
          <t>intermediate</t>
        </is>
      </c>
      <c r="F5" s="2" t="inlineStr">
        <is>
          <t>Build strength</t>
        </is>
      </c>
      <c r="G5" s="2" t="n">
        <v>60</v>
      </c>
      <c r="H5" s="2" t="inlineStr">
        <is>
          <t>Lower Body: Squat</t>
        </is>
      </c>
      <c r="I5" s="2" t="inlineStr">
        <is>
          <t>none</t>
        </is>
      </c>
      <c r="J5" s="2" t="inlineStr">
        <is>
          <t>first session</t>
        </is>
      </c>
      <c r="K5" s="2" t="inlineStr">
        <is>
          <t>Lower Body: Squat</t>
        </is>
      </c>
      <c r="L5" s="2" t="inlineStr">
        <is>
          <t>Traditional</t>
        </is>
      </c>
      <c r="M5" s="2" t="n">
        <v>55</v>
      </c>
      <c r="N5" s="2" t="n">
        <v>18</v>
      </c>
      <c r="O5" s="2" t="inlineStr"/>
      <c r="P5" s="2" t="inlineStr">
        <is>
          <t>Hack Squat: 4 × 5–7  RIR 2  rest 210 s
Leg Press: 4 × 8–10  RIR 2  rest 120 s
Walking Lunge: 4 × 8–10/side  RIR 2  rest 120 s
Reverse Nordic Curl: 3 × 12–15  RIR 1  rest 60 s
Roman Chair / GHD Glute-Ham Raise: 3 × 10–12  RIR 1  rest 60 s</t>
        </is>
      </c>
      <c r="Q5" s="2" t="inlineStr">
        <is>
          <t>Your strength goal keeps the main lift heavy with full rest.</t>
        </is>
      </c>
      <c r="R5" s="2" t="inlineStr">
        <is>
          <t>experience = intermediate → intended: match_programming_vocabulary_to_level → realized: intermediate pool: Roman Chair / GHD Glute-Ham Raise
goal = build_strength → intended: primary_emphasis_heavier_longer_rest → realized: Hack Squat at 5–7 with full 210 s rest
duration = 60 → intended: fill_the_requested_time_with_useful_work → realized: estimated 55.0 min for a 60-minute request
equipment = commercial_gym → intended: availability_only → realized: nothing (no claim made)
history = first session → intended: rotate_shape_and_movements_keep_the_main_lift → realized: nothing (no claim made)</t>
        </is>
      </c>
      <c r="S5" s="2" t="inlineStr">
        <is>
          <t>no State</t>
        </is>
      </c>
      <c r="T5" s="2" t="inlineStr">
        <is>
          <t>Hack Squat (4 × 5–7) leads as the main lift, then 2 strength lifts and 2 accessories.
18 working sets across 5 exercises, about 55 minutes.
Main work stops about 2 reps short of failure, accessories about 1 rep short of failure.
Intermediate difficulty: every movement is within the intermediate complexity and skill limits.
Your profile goal is to build strength; today's Strength session is built from today's choices.</t>
        </is>
      </c>
      <c r="U5" s="2" t="n"/>
      <c r="V5" s="2" t="n"/>
    </row>
    <row r="6">
      <c r="A6" s="2" t="inlineStr">
        <is>
          <t>A. No State (level and goal carry the session)</t>
        </is>
      </c>
      <c r="B6" s="2" t="inlineStr">
        <is>
          <t>Lower Body: Squat, 60, intermediate, build muscle (same seed)</t>
        </is>
      </c>
      <c r="C6" s="2" t="inlineStr">
        <is>
          <t>wes / 2026-10-15</t>
        </is>
      </c>
      <c r="D6" s="2" t="inlineStr">
        <is>
          <t>none</t>
        </is>
      </c>
      <c r="E6" s="2" t="inlineStr">
        <is>
          <t>intermediate</t>
        </is>
      </c>
      <c r="F6" s="2" t="inlineStr">
        <is>
          <t>Build muscle</t>
        </is>
      </c>
      <c r="G6" s="2" t="n">
        <v>60</v>
      </c>
      <c r="H6" s="2" t="inlineStr">
        <is>
          <t>Lower Body: Squat</t>
        </is>
      </c>
      <c r="I6" s="2" t="inlineStr">
        <is>
          <t>none</t>
        </is>
      </c>
      <c r="J6" s="2" t="inlineStr">
        <is>
          <t>first session</t>
        </is>
      </c>
      <c r="K6" s="2" t="inlineStr">
        <is>
          <t>Lower Body: Squat</t>
        </is>
      </c>
      <c r="L6" s="2" t="inlineStr">
        <is>
          <t>Traditional</t>
        </is>
      </c>
      <c r="M6" s="2" t="n">
        <v>56</v>
      </c>
      <c r="N6" s="2" t="n">
        <v>20</v>
      </c>
      <c r="O6" s="2" t="inlineStr"/>
      <c r="P6" s="2" t="inlineStr">
        <is>
          <t>Hack Squat: 4 × 5–7  RIR 2  rest 165 s
Leg Press: 4 × 8–10  RIR 2  rest 120 s
Walking Lunge: 4 × 8–10/side  RIR 2  rest 120 s
Reverse Nordic Curl: 4 × 12–15  RIR 1  rest 60 s
Roman Chair / GHD Glute-Ham Raise: 4 × 10–12  RIR 1  rest 60 s</t>
        </is>
      </c>
      <c r="Q6" s="2" t="inlineStr">
        <is>
          <t>Your muscle goal is why 2 accessory movements sit behind the main lifts.</t>
        </is>
      </c>
      <c r="R6" s="2" t="inlineStr">
        <is>
          <t>experience = intermediate → intended: match_programming_vocabulary_to_level → realized: intermediate pool: Roman Chair / GHD Glute-Ham Raise
goal = build_muscle → intended: hypertrophy_volume_and_accessories → realized: 2 accessory movements behind the main lift, 8 accessory sets in the 10–20 range
duration = 60 → intended: fill_the_requested_time_with_useful_work → realized: estimated 56.0 min for a 60-minute request
equipment = commercial_gym → intended: availability_only → realized: nothing (no claim made)
history = first session → intended: rotate_shape_and_movements_keep_the_main_lift → realized: nothing (no claim made)</t>
        </is>
      </c>
      <c r="S6" s="2" t="inlineStr">
        <is>
          <t>no State</t>
        </is>
      </c>
      <c r="T6" s="2" t="inlineStr">
        <is>
          <t>Hack Squat (4 × 5–7) leads as the main lift, then 2 strength lifts and 2 accessories.
20 working sets across 5 exercises, about 56 minutes.
Main work stops about 2 reps short of failure, accessories about 1 rep short of failure.
Intermediate difficulty: every movement is within the intermediate complexity and skill limits.
Your profile goal is to build muscle; today's Strength session is built from today's choices.</t>
        </is>
      </c>
      <c r="U6" s="2" t="n"/>
      <c r="V6" s="2" t="n"/>
    </row>
    <row r="7">
      <c r="A7" s="2" t="inlineStr">
        <is>
          <t>A. No State (level and goal carry the session)</t>
        </is>
      </c>
      <c r="B7" s="2" t="inlineStr">
        <is>
          <t>Lower Body: Squat, 60, intermediate, lose weight / conditioning (same seed)</t>
        </is>
      </c>
      <c r="C7" s="2" t="inlineStr">
        <is>
          <t>wes / 2026-10-15</t>
        </is>
      </c>
      <c r="D7" s="2" t="inlineStr">
        <is>
          <t>none</t>
        </is>
      </c>
      <c r="E7" s="2" t="inlineStr">
        <is>
          <t>intermediate</t>
        </is>
      </c>
      <c r="F7" s="2" t="inlineStr">
        <is>
          <t>Lose weight / conditioning</t>
        </is>
      </c>
      <c r="G7" s="2" t="n">
        <v>60</v>
      </c>
      <c r="H7" s="2" t="inlineStr">
        <is>
          <t>Lower Body: Squat</t>
        </is>
      </c>
      <c r="I7" s="2" t="inlineStr">
        <is>
          <t>none</t>
        </is>
      </c>
      <c r="J7" s="2" t="inlineStr">
        <is>
          <t>first session</t>
        </is>
      </c>
      <c r="K7" s="2" t="inlineStr">
        <is>
          <t>Lower Body: Squat</t>
        </is>
      </c>
      <c r="L7" s="2" t="inlineStr">
        <is>
          <t>Traditional</t>
        </is>
      </c>
      <c r="M7" s="2" t="n">
        <v>52</v>
      </c>
      <c r="N7" s="2" t="n">
        <v>18</v>
      </c>
      <c r="O7" s="2" t="inlineStr"/>
      <c r="P7" s="2" t="inlineStr">
        <is>
          <t>Hack Squat: 4 × 5–7  RIR 2  rest 180 s
Leg Press: 4 × 8–10  RIR 2  rest 105 s
Walking Lunge: 4 × 8–10/side  RIR 2  rest 105 s
Reverse Nordic Curl: 3 × 12–15  RIR 1  rest 60 s
Roman Chair / GHD Glute-Ham Raise: 3 × 10–12  RIR 1  rest 60 s</t>
        </is>
      </c>
      <c r="Q7" s="2" t="inlineStr">
        <is>
          <t>Your conditioning goal keeps the accessory rests short.</t>
        </is>
      </c>
      <c r="R7" s="2" t="inlineStr">
        <is>
          <t>experience = intermediate → intended: match_programming_vocabulary_to_level → realized: intermediate pool: Roman Chair / GHD Glute-Ham Raise
goal = lose_weight_conditioning → intended: density_short_rests_paired_work → realized: short rests on the accessories (60 s)
duration = 60 → intended: fill_the_requested_time_with_useful_work → realized: estimated 52.0 min for a 60-minute request
equipment = commercial_gym → intended: availability_only → realized: nothing (no claim made)
history = first session → intended: rotate_shape_and_movements_keep_the_main_lift → realized: nothing (no claim made)</t>
        </is>
      </c>
      <c r="S7" s="2" t="inlineStr">
        <is>
          <t>no State</t>
        </is>
      </c>
      <c r="T7" s="2" t="inlineStr">
        <is>
          <t>Hack Squat (4 × 5–7) leads as the main lift, then 2 strength lifts and 2 accessories.
18 working sets across 5 exercises, about 52 minutes.
Main work stops about 2 reps short of failure, accessories about 1 rep short of failure.
Intermediate difficulty: every movement is within the intermediate complexity and skill limits.
Your profile goal is to lose weight and build conditioning; today's Strength session is built from today's choices.</t>
        </is>
      </c>
      <c r="U7" s="2" t="n"/>
      <c r="V7" s="2" t="n"/>
    </row>
    <row r="8">
      <c r="A8" s="2" t="inlineStr">
        <is>
          <t>A. No State (level and goal carry the session)</t>
        </is>
      </c>
      <c r="B8" s="2" t="inlineStr">
        <is>
          <t>Upper Pull, 60, advanced, improve athleticism</t>
        </is>
      </c>
      <c r="C8" s="2" t="inlineStr">
        <is>
          <t>wes / 2026-10-16</t>
        </is>
      </c>
      <c r="D8" s="2" t="inlineStr">
        <is>
          <t>none</t>
        </is>
      </c>
      <c r="E8" s="2" t="inlineStr">
        <is>
          <t>advanced</t>
        </is>
      </c>
      <c r="F8" s="2" t="inlineStr">
        <is>
          <t>Improve athleticism</t>
        </is>
      </c>
      <c r="G8" s="2" t="n">
        <v>60</v>
      </c>
      <c r="H8" s="2" t="inlineStr">
        <is>
          <t>Upper Pull</t>
        </is>
      </c>
      <c r="I8" s="2" t="inlineStr">
        <is>
          <t>none</t>
        </is>
      </c>
      <c r="J8" s="2" t="inlineStr">
        <is>
          <t>first session</t>
        </is>
      </c>
      <c r="K8" s="2" t="inlineStr">
        <is>
          <t>Upper Pull</t>
        </is>
      </c>
      <c r="L8" s="2" t="inlineStr">
        <is>
          <t>Heavy Primary</t>
        </is>
      </c>
      <c r="M8" s="2" t="n">
        <v>56.2</v>
      </c>
      <c r="N8" s="2" t="n">
        <v>17</v>
      </c>
      <c r="O8" s="2" t="inlineStr">
        <is>
          <t>drop_set</t>
        </is>
      </c>
      <c r="P8" s="2" t="inlineStr">
        <is>
          <t>Chest-Supported Machine Row: 5 × 4–6  RIR 1  rest 240 s
Pull-Up: 4 × 6–8  RIR 2  rest 135 s
Bent-Over Dumbbell Row (Two-Arm): 4 × 6–8  RIR 2  rest 135 s
Dumbbell Pullover: 2 × 10–12 · drop set on the final set  RIR 1  (On the last set, hit the reps, drop the load about 25% and go again to the same reps-in-reserve. Stop each set with about 1 rep left in the tank.)  rest 60 s
EZ-Bar Preacher Curl: 2 × 10–12  RIR 1  rest 60 s</t>
        </is>
      </c>
      <c r="Q8" s="2" t="inlineStr">
        <is>
          <t>Since you're an advanced lifter, we're keeping drop set on the final set on Dumbbell Pullover in the mix, and your athleticism goal keeps the main lift heavy and fast with full rest.</t>
        </is>
      </c>
      <c r="R8" s="2" t="inlineStr">
        <is>
          <t>experience = advanced → intended: match_programming_vocabulary_to_level → realized: drop set on the final set on Dumbbell Pullover; Chest-Supported Machine Row runs to RIR 1 (advanced band position); higher-complexity movements kept in: Pull-Up; Heavy Primary shape
goal = improve_athleticism → intended: heavy_primary_with_intent → realized: Chest-Supported Machine Row kept heavy (4–6) with full rest; Heavy Primary shape
duration = 60 → intended: fill_the_requested_time_with_useful_work → realized: estimated 56.2 min for a 60-minute request
equipment = commercial_gym → intended: availability_only → realized: nothing (no claim made)
history = first session → intended: rotate_shape_and_movements_keep_the_main_lift → realized: nothing (no claim made)</t>
        </is>
      </c>
      <c r="S8" s="2" t="inlineStr">
        <is>
          <t>no State</t>
        </is>
      </c>
      <c r="T8" s="2" t="inlineStr">
        <is>
          <t>Chest-Supported Machine Row (5 × 4–6) leads as the main lift, then 2 strength lifts and 2 accessories.
17 working sets across 5 exercises, about 56 minutes.
Main work stops about 1 rep short of failure.
Advanced difficulty keeps the full exercise range open; today the best fits sit within it without needing the most complex options.
Your profile goal is to improve athleticism; today's Strength session is built from today's choices.</t>
        </is>
      </c>
      <c r="U8" s="2" t="n"/>
      <c r="V8" s="2" t="n"/>
    </row>
    <row r="9">
      <c r="A9" s="2" t="inlineStr">
        <is>
          <t>A. No State (level and goal carry the session)</t>
        </is>
      </c>
      <c r="B9" s="2" t="inlineStr">
        <is>
          <t>Glutes + Legs, 60, beginner, feel better</t>
        </is>
      </c>
      <c r="C9" s="2" t="inlineStr">
        <is>
          <t>wes / 2026-10-17</t>
        </is>
      </c>
      <c r="D9" s="2" t="inlineStr">
        <is>
          <t>none</t>
        </is>
      </c>
      <c r="E9" s="2" t="inlineStr">
        <is>
          <t>beginner</t>
        </is>
      </c>
      <c r="F9" s="2" t="inlineStr">
        <is>
          <t>Feel better / reduce stress</t>
        </is>
      </c>
      <c r="G9" s="2" t="n">
        <v>60</v>
      </c>
      <c r="H9" s="2" t="inlineStr">
        <is>
          <t>Glutes + Legs</t>
        </is>
      </c>
      <c r="I9" s="2" t="inlineStr">
        <is>
          <t>none</t>
        </is>
      </c>
      <c r="J9" s="2" t="inlineStr">
        <is>
          <t>first session</t>
        </is>
      </c>
      <c r="K9" s="2" t="inlineStr">
        <is>
          <t>Glutes + Legs</t>
        </is>
      </c>
      <c r="L9" s="2" t="inlineStr">
        <is>
          <t>Traditional</t>
        </is>
      </c>
      <c r="M9" s="2" t="n">
        <v>53.2</v>
      </c>
      <c r="N9" s="2" t="n">
        <v>16</v>
      </c>
      <c r="O9" s="2" t="inlineStr"/>
      <c r="P9" s="2" t="inlineStr">
        <is>
          <t>Barbell Hip Thrust: 4 × 6–8  RIR 3  (Stop each set with about 3 reps left in the tank.)  rest 150 s
Pit Shark Belt Squat: 4 × 8–10  RIR 3  (Stop each set with about 3 reps left in the tank.)  rest 120 s
Reverse Lunge: 4 × 8–10/side  RIR 3  (Stop each set with about 3 reps left in the tank.)  rest 120 s
Cable Glute Kickback: 2 × 12–15/side  RIR 2  rest 60 s
Seated Leg Curl: 2 × 12–15  RIR 2  rest 60 s
FINISHER  Frog Pump: 2 × 15–20  RIR 0  rest 30 s</t>
        </is>
      </c>
      <c r="Q9" s="2" t="inlineStr">
        <is>
          <t>Since you're newer to lifting, the main work keeps at least two reps in reserve and the movements stay approachable, and your feel-better goal keeps the compound work two reps from failure.</t>
        </is>
      </c>
      <c r="R9" s="2" t="inlineStr">
        <is>
          <t>experience = beginner → intended: match_programming_vocabulary_to_level → realized: beginner bands: every lift keeps 2+ reps in reserve, no exercise above 4 sets; beginner-rated, low-complexity movements only; no advanced set methods
goal = feel_better_reduce_stress → intended: steady_effort_away_from_failure → realized: Traditional shape (feel-better goal weights it up); compound work stays 2+ reps from failure
duration = 60 → intended: fill_the_requested_time_with_useful_work → realized: estimated 53.2 min for a 60-minute request
equipment = commercial_gym → intended: availability_only → realized: nothing (no claim made)
history = first session → intended: rotate_shape_and_movements_keep_the_main_lift → realized: nothing (no claim made)</t>
        </is>
      </c>
      <c r="S9" s="2" t="inlineStr">
        <is>
          <t>no State</t>
        </is>
      </c>
      <c r="T9" s="2" t="inlineStr">
        <is>
          <t>Beginner difficulty applies MOOD's beginner exercise rules: all 6 movements are beginner-rated and technically approachable.
Barbell Hip Thrust (4 × 6–8) leads as the main lift, then 2 strength lifts and 2 accessories.
18 working sets across 6 exercises, about 53 minutes.
Main work stops about 3 reps short of failure, accessories about 2 reps short of failure.
Your profile goal is to feel better and manage stress; today's Strength session is built from today's choices.</t>
        </is>
      </c>
      <c r="U9" s="2" t="n"/>
      <c r="V9" s="2" t="n"/>
    </row>
    <row r="10">
      <c r="A10" s="2" t="inlineStr">
        <is>
          <t>A. No State (level and goal carry the session)</t>
        </is>
      </c>
      <c r="B10" s="2" t="inlineStr">
        <is>
          <t>MOOD's Pick, 30, intermediate, stay consistent (first session)</t>
        </is>
      </c>
      <c r="C10" s="2" t="inlineStr">
        <is>
          <t>wes / 2026-10-18</t>
        </is>
      </c>
      <c r="D10" s="2" t="inlineStr">
        <is>
          <t>none</t>
        </is>
      </c>
      <c r="E10" s="2" t="inlineStr">
        <is>
          <t>intermediate</t>
        </is>
      </c>
      <c r="F10" s="2" t="inlineStr">
        <is>
          <t>Stay consistent</t>
        </is>
      </c>
      <c r="G10" s="2" t="n">
        <v>30</v>
      </c>
      <c r="H10" s="2" t="inlineStr">
        <is>
          <t>MOOD's Pick</t>
        </is>
      </c>
      <c r="I10" s="2" t="inlineStr">
        <is>
          <t>none</t>
        </is>
      </c>
      <c r="J10" s="2" t="inlineStr">
        <is>
          <t>first session</t>
        </is>
      </c>
      <c r="K10" s="2" t="inlineStr">
        <is>
          <t>Glutes + Legs</t>
        </is>
      </c>
      <c r="L10" s="2" t="inlineStr">
        <is>
          <t>Efficient</t>
        </is>
      </c>
      <c r="M10" s="2" t="n">
        <v>26.8</v>
      </c>
      <c r="N10" s="2" t="n">
        <v>10</v>
      </c>
      <c r="O10" s="2" t="inlineStr"/>
      <c r="P10" s="2" t="inlineStr">
        <is>
          <t>Barbell Hip Thrust: 3 × 5–7  RIR 2  rest 135 s
Trap-Bar Deadlift: 3 × 8–10  RIR 2  rest 90 s
Cable Glute Kickback: 2 × 10–12/side  RIR 1  rest 45 s
Leg Extension: 2 × 10–12  RIR 1  rest 45 s</t>
        </is>
      </c>
      <c r="Q10" s="2" t="inlineStr">
        <is>
          <t>(no synthesised line)</t>
        </is>
      </c>
      <c r="R10" s="2" t="inlineStr">
        <is>
          <t>experience = intermediate → intended: match_programming_vocabulary_to_level → realized: intermediate pool: Trap-Bar Deadlift
goal = stay_consistent → intended: balanced_general_strength → realized: nothing (no claim made)
duration = 30 → intended: fill_the_requested_time_with_useful_work → realized: filled toward the requested time: slot_added Leg Extension; 30-minute session: 4 exercises, 10 working sets, main work kept; estimated 26.8 min for a 30-minute request
equipment = commercial_gym → intended: availability_only → realized: nothing (no claim made)
history = first session → intended: rotate_shape_and_movements_keep_the_main_lift → realized: nothing (no claim made)</t>
        </is>
      </c>
      <c r="S10" s="2" t="inlineStr">
        <is>
          <t>no State</t>
        </is>
      </c>
      <c r="T10" s="2" t="inlineStr">
        <is>
          <t>30 minutes: 4 exercises and 10 working sets, with the main work kept.
Barbell Hip Thrust (3 × 5–7) leads as the main lift, then 1 strength lift and 2 accessories.
10 working sets across 4 exercises, about 27 minutes.
Main work stops about 2 reps short of failure, accessories about 1 rep short of failure.
Intermediate difficulty: every movement is within the intermediate complexity and skill limits.
MOOD's Pick follows its standard rotation for 3 to 4 Strength days a week.</t>
        </is>
      </c>
      <c r="U10" s="2" t="n"/>
      <c r="V10" s="2" t="n"/>
    </row>
    <row r="11">
      <c r="A11" s="2" t="inlineStr">
        <is>
          <t>A. No State (level and goal carry the session)</t>
        </is>
      </c>
      <c r="B11" s="2" t="inlineStr">
        <is>
          <t>Full Body, 60, intermediate, build muscle</t>
        </is>
      </c>
      <c r="C11" s="2" t="inlineStr">
        <is>
          <t>wes / 2026-10-19</t>
        </is>
      </c>
      <c r="D11" s="2" t="inlineStr">
        <is>
          <t>none</t>
        </is>
      </c>
      <c r="E11" s="2" t="inlineStr">
        <is>
          <t>intermediate</t>
        </is>
      </c>
      <c r="F11" s="2" t="inlineStr">
        <is>
          <t>Build muscle</t>
        </is>
      </c>
      <c r="G11" s="2" t="n">
        <v>60</v>
      </c>
      <c r="H11" s="2" t="inlineStr">
        <is>
          <t>Full Body</t>
        </is>
      </c>
      <c r="I11" s="2" t="inlineStr">
        <is>
          <t>none</t>
        </is>
      </c>
      <c r="J11" s="2" t="inlineStr">
        <is>
          <t>first session</t>
        </is>
      </c>
      <c r="K11" s="2" t="inlineStr">
        <is>
          <t>Full Body</t>
        </is>
      </c>
      <c r="L11" s="2" t="inlineStr">
        <is>
          <t>Heavy Primary</t>
        </is>
      </c>
      <c r="M11" s="2" t="n">
        <v>58.4</v>
      </c>
      <c r="N11" s="2" t="n">
        <v>16</v>
      </c>
      <c r="O11" s="2" t="inlineStr">
        <is>
          <t>pause</t>
        </is>
      </c>
      <c r="P11" s="2" t="inlineStr">
        <is>
          <t>Barbell Romanian Deadlift: 5 × 4–6 · paused reps  RIR 2  (Pause 2 s at the hardest point of every rep, then drive out of it. Stop each set with about 2 reps left in the tank.)  rest 225 s
Renegade Row: 4 × 8–10/side  RIR 2  rest 135 s
Pull-Up: 4 × 8–10  RIR 2  rest 135 s
Pallof Press: 3 × 10–12/side  RIR 1  rest 60 s</t>
        </is>
      </c>
      <c r="Q11" s="2" t="inlineStr">
        <is>
          <t>As an intermediate lifter, paused reps on Barbell Romanian Deadlift is on the table, and your muscle goal is why 1 accessory movement sits behind the main lifts.</t>
        </is>
      </c>
      <c r="R11" s="2" t="inlineStr">
        <is>
          <t>experience = intermediate → intended: match_programming_vocabulary_to_level → realized: paused reps on Barbell Romanian Deadlift (intermediate and up); intermediate pool: Barbell Romanian Deadlift, Renegade Row, Pull-Up
goal = build_muscle → intended: hypertrophy_volume_and_accessories → realized: 1 accessory movement behind the main lift, 3 accessory sets in the 10–20 range
duration = 60 → intended: fill_the_requested_time_with_useful_work → realized: estimated 58.4 min for a 60-minute request
equipment = commercial_gym → intended: availability_only → realized: nothing (no claim made)
history = first session → intended: rotate_shape_and_movements_keep_the_main_lift → realized: nothing (no claim made)</t>
        </is>
      </c>
      <c r="S11" s="2" t="inlineStr">
        <is>
          <t>no State</t>
        </is>
      </c>
      <c r="T11" s="2" t="inlineStr">
        <is>
          <t>Barbell Romanian Deadlift (5 × 4–6 · paused reps) leads as the main lift, then 2 strength lifts and 1 accessory.
16 working sets across 4 exercises, about 58 minutes.
Main work stops about 2 reps short of failure, accessories about 1 rep short of failure.
Intermediate difficulty: every movement is within the intermediate complexity and skill limits.
Your profile goal is to build muscle; today's Strength session is built from today's choices.</t>
        </is>
      </c>
      <c r="U11" s="2" t="n"/>
      <c r="V11" s="2" t="n"/>
    </row>
    <row r="12">
      <c r="A12" s="2" t="inlineStr">
        <is>
          <t>B. Low Energy</t>
        </is>
      </c>
      <c r="B12" s="2" t="inlineStr">
        <is>
          <t>Upper Push, 60, intermediate</t>
        </is>
      </c>
      <c r="C12" s="2" t="inlineStr">
        <is>
          <t>wes / 2026-10-14</t>
        </is>
      </c>
      <c r="D12" s="2" t="inlineStr">
        <is>
          <t>low_energy</t>
        </is>
      </c>
      <c r="E12" s="2" t="inlineStr">
        <is>
          <t>intermediate</t>
        </is>
      </c>
      <c r="F12" s="2" t="inlineStr">
        <is>
          <t>Build muscle</t>
        </is>
      </c>
      <c r="G12" s="2" t="n">
        <v>60</v>
      </c>
      <c r="H12" s="2" t="inlineStr">
        <is>
          <t>Upper Push</t>
        </is>
      </c>
      <c r="I12" s="2" t="inlineStr">
        <is>
          <t>none</t>
        </is>
      </c>
      <c r="J12" s="2" t="inlineStr">
        <is>
          <t>first session</t>
        </is>
      </c>
      <c r="K12" s="2" t="inlineStr">
        <is>
          <t>Upper Push</t>
        </is>
      </c>
      <c r="L12" s="2" t="inlineStr">
        <is>
          <t>Compound + Paired Accessories</t>
        </is>
      </c>
      <c r="M12" s="2" t="n">
        <v>53.2</v>
      </c>
      <c r="N12" s="2" t="n">
        <v>19</v>
      </c>
      <c r="O12" s="2" t="inlineStr"/>
      <c r="P12" s="2" t="inlineStr">
        <is>
          <t>Barbell Bench Press: 4 × 5–7  RIR 3  (Stop each set with about 3 reps left in the tank.)  rest 180 s
Parallel Bar Dip: 4 × 10–12  RIR 3  (Stop each set with about 3 reps left in the tank.)  rest 120 s
Plate-Loaded Incline Press: 4 × 10–12  RIR 3  (Stop each set with about 3 reps left in the tank.)  rest 120 s
SUPERSET A (2 rounds, rest 60 s after each round)
  A1 Dumbbell Fly: 2 × 12–15  RIR 1
  A2 Machine Triceps Extension: 2 × 12–15  RIR 1
Overhead Cable Triceps Extension: 3 × 12–15  RIR 1  rest 60 s</t>
        </is>
      </c>
      <c r="Q12" s="2" t="inlineStr">
        <is>
          <t>You're low on energy today, so we're keeping you further from failure on every set, leaning into stable, low-friction movements and keeping the main lifts at moderate loads. Your muscle goal is why 3 accessory movements sit behind the main lifts.</t>
        </is>
      </c>
      <c r="R12" s="2" t="inlineStr">
        <is>
          <t>state = low_energy (expression: moderate_load) → intended: reduce_training_cost → realized: Parallel Bar Dip 8–10→10–12; Plate-Loaded Incline Press 8–10→10–12; Barbell Bench Press RIR 2→3; Parallel Bar Dip RIR 2→3; Plate-Loaded Incline Press RIR 2→3; Smith Machine Incline Press → Plate-Loaded Incline Press; Cable Triceps Pressdown → Machine Triceps Extension; EZ-Bar Skull Crusher → Overhead Cable Triceps Extension
experience = intermediate → intended: match_programming_vocabulary_to_level → realized: intermediate pool: Barbell Bench Press, Parallel Bar Dip
goal = build_muscle → intended: hypertrophy_volume_and_accessories → realized: Compound + Paired Accessories shape (muscle goal weights it up); 3 accessory movements behind the main lift, 7 accessory sets in the 10–20 range
duration = 60 → intended: fill_the_requested_time_with_useful_work → realized: trimmed to fit: set_removed; estimated 53.2 min for a 60-minute request
equipment = commercial_gym → intended: availability_only → realized: nothing (no claim made)
history = first session → intended: rotate_shape_and_movements_keep_the_main_lift → realized: nothing (no claim made)</t>
        </is>
      </c>
      <c r="S12" s="2" t="inlineStr">
        <is>
          <t>low_energy: attempt 0 expression 'moderate_load' realized ['reps', 'rir', 'exercises'] no-ops [] → satisfied</t>
        </is>
      </c>
      <c r="T12" s="2" t="inlineStr">
        <is>
          <t>Barbell Bench Press (4 × 5–7) leads as the main lift, then 2 strength lifts and 3 accessories, with part of it run as a superset.
19 working sets across 6 exercises, about 53 minutes.
Main work stops about 3 reps short of failure, accessories about 1 rep short of failure.
Intermediate difficulty: every movement is within the intermediate complexity and skill limits.
Your profile goal is to build muscle; today's Strength session is built from today's choices.</t>
        </is>
      </c>
      <c r="U12" s="2" t="n"/>
      <c r="V12" s="2" t="n"/>
    </row>
    <row r="13">
      <c r="A13" s="2" t="inlineStr">
        <is>
          <t>B. Low Energy</t>
        </is>
      </c>
      <c r="B13" s="2" t="inlineStr">
        <is>
          <t>Lower Body: Hinge, 60, advanced, build strength</t>
        </is>
      </c>
      <c r="C13" s="2" t="inlineStr">
        <is>
          <t>wes / 2026-10-20</t>
        </is>
      </c>
      <c r="D13" s="2" t="inlineStr">
        <is>
          <t>low_energy</t>
        </is>
      </c>
      <c r="E13" s="2" t="inlineStr">
        <is>
          <t>advanced</t>
        </is>
      </c>
      <c r="F13" s="2" t="inlineStr">
        <is>
          <t>Build strength</t>
        </is>
      </c>
      <c r="G13" s="2" t="n">
        <v>60</v>
      </c>
      <c r="H13" s="2" t="inlineStr">
        <is>
          <t>Lower Body: Hinge</t>
        </is>
      </c>
      <c r="I13" s="2" t="inlineStr">
        <is>
          <t>none</t>
        </is>
      </c>
      <c r="J13" s="2" t="inlineStr">
        <is>
          <t>first session</t>
        </is>
      </c>
      <c r="K13" s="2" t="inlineStr">
        <is>
          <t>Lower Body: Hinge</t>
        </is>
      </c>
      <c r="L13" s="2" t="inlineStr">
        <is>
          <t>Traditional</t>
        </is>
      </c>
      <c r="M13" s="2" t="n">
        <v>52</v>
      </c>
      <c r="N13" s="2" t="n">
        <v>16</v>
      </c>
      <c r="O13" s="2" t="inlineStr"/>
      <c r="P13" s="2" t="inlineStr">
        <is>
          <t>Barbell Romanian Deadlift: 4 × 5–7  RIR 1  rest 210 s
Cable Pull-Through: 4 × 6–8  RIR 2  rest 120 s
Reverse Lunge: 4 × 6–8/side  RIR 2  rest 120 s
Single-Leg Lying Leg Curl: 4 × 10–12/side  RIR 2  rest 60 s</t>
        </is>
      </c>
      <c r="Q13" s="2" t="inlineStr">
        <is>
          <t>You're low on energy today, so we're leaving Side Plank out and keeping the structure simple. Since you're an advanced lifter, the compound work stays demanding before the accessories, and your strength goal keeps the main lift heavy with full rest.</t>
        </is>
      </c>
      <c r="R13" s="2" t="inlineStr">
        <is>
          <t>state = low_energy (expression: simplify) → intended: reduce_training_cost → realized: left out Side Plank; Traditional instead of Heavy Primary
experience = advanced → intended: match_programming_vocabulary_to_level → realized: Barbell Romanian Deadlift runs to RIR 1 (advanced band position); higher-complexity movements kept in: Barbell Romanian Deadlift
goal = build_strength → intended: primary_emphasis_heavier_longer_rest → realized: Barbell Romanian Deadlift at 5–7 with full 210 s rest
duration = 60 → intended: fill_the_requested_time_with_useful_work → realized: filled toward the requested time: set_added; estimated 52.0 min for a 60-minute request
equipment = commercial_gym → intended: availability_only → realized: nothing (no claim made)
history = first session → intended: rotate_shape_and_movements_keep_the_main_lift → realized: nothing (no claim made)</t>
        </is>
      </c>
      <c r="S13" s="2" t="inlineStr">
        <is>
          <t>low_energy: attempt 0 expression 'simplify' realized ['slot_removed', 'structure'] no-ops [] → satisfied</t>
        </is>
      </c>
      <c r="T13" s="2" t="inlineStr">
        <is>
          <t>Barbell Romanian Deadlift (4 × 5–7) leads as the main lift, then 2 strength lifts and 1 accessory.
16 working sets across 4 exercises, about 52 minutes.
Main work stops about 1 rep short of failure, accessories about 2 reps short of failure.
Advanced difficulty keeps the full exercise range open; today the best fits sit within it without needing the most complex options.
Your profile goal is to build strength; today's Strength session is built from today's choices.</t>
        </is>
      </c>
      <c r="U13" s="2" t="n"/>
      <c r="V13" s="2" t="n"/>
    </row>
    <row r="14">
      <c r="A14" s="2" t="inlineStr">
        <is>
          <t>B. Low Energy</t>
        </is>
      </c>
      <c r="B14" s="2" t="inlineStr">
        <is>
          <t>Upper Pull, 30, beginner</t>
        </is>
      </c>
      <c r="C14" s="2" t="inlineStr">
        <is>
          <t>wes / 2026-10-21</t>
        </is>
      </c>
      <c r="D14" s="2" t="inlineStr">
        <is>
          <t>low_energy</t>
        </is>
      </c>
      <c r="E14" s="2" t="inlineStr">
        <is>
          <t>beginner</t>
        </is>
      </c>
      <c r="F14" s="2" t="inlineStr">
        <is>
          <t>Build muscle</t>
        </is>
      </c>
      <c r="G14" s="2" t="n">
        <v>30</v>
      </c>
      <c r="H14" s="2" t="inlineStr">
        <is>
          <t>Upper Pull</t>
        </is>
      </c>
      <c r="I14" s="2" t="inlineStr">
        <is>
          <t>none</t>
        </is>
      </c>
      <c r="J14" s="2" t="inlineStr">
        <is>
          <t>first session</t>
        </is>
      </c>
      <c r="K14" s="2" t="inlineStr">
        <is>
          <t>Upper Pull</t>
        </is>
      </c>
      <c r="L14" s="2" t="inlineStr">
        <is>
          <t>Efficient</t>
        </is>
      </c>
      <c r="M14" s="2" t="n">
        <v>26.9</v>
      </c>
      <c r="N14" s="2" t="n">
        <v>10</v>
      </c>
      <c r="O14" s="2" t="inlineStr">
        <is>
          <t>slow_eccentric</t>
        </is>
      </c>
      <c r="P14" s="2" t="inlineStr">
        <is>
          <t>Chest-Supported Machine Row: 3 × 6–8  RIR 2  rest 120 s
Lat Pulldown: 3 × 10–12 · 3 s eccentric  RIR 2  (Take 3 s to lower every rep, then lift at normal speed. Stop each set with about 2 reps left in the tank.)  rest 90 s
SUPERSET A (2 rounds, rest 60 s after each round)
  A1 Machine Preacher Curl: 2 × 15–20  RIR 2
  A2 Reverse Pec Deck: 2 × 15–20  RIR 2</t>
        </is>
      </c>
      <c r="Q14" s="2" t="inlineStr">
        <is>
          <t>You're low on energy today, so we're slowing the eccentric on Lat Pulldown instead of adding load. Since you're newer to lifting, the main work keeps at least two reps in reserve and the movements stay approachable, and your muscle goal is why 2 accessory movements sit behind the main lifts.</t>
        </is>
      </c>
      <c r="R14" s="2" t="inlineStr">
        <is>
          <t>state = low_energy (expression: simplify) → intended: reduce_training_cost → realized: 3 s eccentric on Lat Pulldown
experience = beginner → intended: match_programming_vocabulary_to_level → realized: beginner bands: every lift keeps 2+ reps in reserve, no exercise above 3 sets; beginner-rated, low-complexity movements only
goal = build_muscle → intended: hypertrophy_volume_and_accessories → realized: 2 accessory movements behind the main lift, 4 accessory sets in the 10–20 range; 3 s eccentric on Lat Pulldown
duration = 30 → intended: fill_the_requested_time_with_useful_work → realized: filled toward the requested time: slot_added Reverse Pec Deck; 30-minute session: 4 exercises, 10 working sets, main work kept; estimated 26.9 min for a 30-minute request
equipment = commercial_gym → intended: availability_only → realized: nothing (no claim made)
history = first session → intended: rotate_shape_and_movements_keep_the_main_lift → realized: nothing (no claim made)</t>
        </is>
      </c>
      <c r="S14" s="2" t="inlineStr">
        <is>
          <t>low_energy: attempt 0 expression 'simplify' realized ['set_method'] no-ops ['state_slot_removed_no_effect', 'state_rir_no_effect'] → satisfied</t>
        </is>
      </c>
      <c r="T14" s="2" t="inlineStr">
        <is>
          <t>30 minutes: 4 exercises and 10 working sets, with the main work kept.
Beginner difficulty applies MOOD's beginner exercise rules: all 4 movements are beginner-rated and technically approachable.
Chest-Supported Machine Row (3 × 6–8) leads as the main lift, then 1 strength lift and 2 accessories, with part of it run as a superset.
10 working sets across 4 exercises, about 27 minutes.
Main work stops about 2 reps short of failure.</t>
        </is>
      </c>
      <c r="U14" s="2" t="n"/>
      <c r="V14" s="2" t="n"/>
    </row>
    <row r="15">
      <c r="A15" s="2" t="inlineStr">
        <is>
          <t>C. Amped</t>
        </is>
      </c>
      <c r="B15" s="2" t="inlineStr">
        <is>
          <t>Upper Push, 60, intermediate</t>
        </is>
      </c>
      <c r="C15" s="2" t="inlineStr">
        <is>
          <t>wes / 2026-10-14</t>
        </is>
      </c>
      <c r="D15" s="2" t="inlineStr">
        <is>
          <t>amped</t>
        </is>
      </c>
      <c r="E15" s="2" t="inlineStr">
        <is>
          <t>intermediate</t>
        </is>
      </c>
      <c r="F15" s="2" t="inlineStr">
        <is>
          <t>Build muscle</t>
        </is>
      </c>
      <c r="G15" s="2" t="n">
        <v>60</v>
      </c>
      <c r="H15" s="2" t="inlineStr">
        <is>
          <t>Upper Push</t>
        </is>
      </c>
      <c r="I15" s="2" t="inlineStr">
        <is>
          <t>none</t>
        </is>
      </c>
      <c r="J15" s="2" t="inlineStr">
        <is>
          <t>first session</t>
        </is>
      </c>
      <c r="K15" s="2" t="inlineStr">
        <is>
          <t>Upper Push</t>
        </is>
      </c>
      <c r="L15" s="2" t="inlineStr">
        <is>
          <t>Compound + Paired Accessories</t>
        </is>
      </c>
      <c r="M15" s="2" t="n">
        <v>55.8</v>
      </c>
      <c r="N15" s="2" t="n">
        <v>20</v>
      </c>
      <c r="O15" s="2" t="inlineStr"/>
      <c r="P15" s="2" t="inlineStr">
        <is>
          <t>Barbell Bench Press: 5 × 5–7  RIR 2  rest 180 s
Parallel Bar Dip: 4 × 8–10  RIR 2  rest 120 s
Smith Machine Incline Press: 4 × 8–10  RIR 2  rest 120 s
SUPERSET A (2 rounds, rest 60 s after each round)
  A1 Dumbbell Fly: 2 × 12–15  RIR 1
  A2 Cable Triceps Pressdown: 2 × 12–15  RIR 1
EZ-Bar Skull Crusher: 3 × 12–15  RIR 1  rest 60 s</t>
        </is>
      </c>
      <c r="Q15" s="2" t="inlineStr">
        <is>
          <t>You're amped today, so we're adding a working set to Barbell Bench Press. Your muscle goal is why 3 accessory movements sit behind the main lifts.</t>
        </is>
      </c>
      <c r="R15" s="2" t="inlineStr">
        <is>
          <t>state = amped (expression: extra_set_paired) → intended: use_readiness_productively → realized: Barbell Bench Press 4→5 sets
experience = intermediate → intended: match_programming_vocabulary_to_level → realized: intermediate pool: Barbell Bench Press, Parallel Bar Dip
goal = build_muscle → intended: hypertrophy_volume_and_accessories → realized: Compound + Paired Accessories shape (muscle goal weights it up); 3 accessory movements behind the main lift, 7 accessory sets in the 10–20 range
duration = 60 → intended: fill_the_requested_time_with_useful_work → realized: trimmed to fit: set_removed; estimated 55.8 min for a 60-minute request
equipment = commercial_gym → intended: availability_only → realized: nothing (no claim made)
history = first session → intended: rotate_shape_and_movements_keep_the_main_lift → realized: nothing (no claim made)</t>
        </is>
      </c>
      <c r="S15" s="2" t="inlineStr">
        <is>
          <t>amped: attempt 0 expression 'extra_set_paired' realized ['volume'] no-ops [] → satisfied</t>
        </is>
      </c>
      <c r="T15" s="2" t="inlineStr">
        <is>
          <t>Barbell Bench Press (5 × 5–7) leads as the main lift, then 2 strength lifts and 3 accessories, with part of it run as a superset.
20 working sets across 6 exercises, about 56 minutes.
Main work stops about 2 reps short of failure, accessories about 1 rep short of failure.
Intermediate difficulty: every movement is within the intermediate complexity and skill limits.
Your profile goal is to build muscle; today's Strength session is built from today's choices.</t>
        </is>
      </c>
      <c r="U15" s="2" t="n"/>
      <c r="V15" s="2" t="n"/>
    </row>
    <row r="16">
      <c r="A16" s="2" t="inlineStr">
        <is>
          <t>C. Amped</t>
        </is>
      </c>
      <c r="B16" s="2" t="inlineStr">
        <is>
          <t>Lower Body: Squat, 60, advanced, build strength</t>
        </is>
      </c>
      <c r="C16" s="2" t="inlineStr">
        <is>
          <t>wes / 2026-10-22</t>
        </is>
      </c>
      <c r="D16" s="2" t="inlineStr">
        <is>
          <t>amped</t>
        </is>
      </c>
      <c r="E16" s="2" t="inlineStr">
        <is>
          <t>advanced</t>
        </is>
      </c>
      <c r="F16" s="2" t="inlineStr">
        <is>
          <t>Build strength</t>
        </is>
      </c>
      <c r="G16" s="2" t="n">
        <v>60</v>
      </c>
      <c r="H16" s="2" t="inlineStr">
        <is>
          <t>Lower Body: Squat</t>
        </is>
      </c>
      <c r="I16" s="2" t="inlineStr">
        <is>
          <t>none</t>
        </is>
      </c>
      <c r="J16" s="2" t="inlineStr">
        <is>
          <t>first session</t>
        </is>
      </c>
      <c r="K16" s="2" t="inlineStr">
        <is>
          <t>Lower Body: Squat</t>
        </is>
      </c>
      <c r="L16" s="2" t="inlineStr">
        <is>
          <t>Top Set + Back-off</t>
        </is>
      </c>
      <c r="M16" s="2" t="n">
        <v>57</v>
      </c>
      <c r="N16" s="2" t="n">
        <v>17</v>
      </c>
      <c r="O16" s="2" t="inlineStr">
        <is>
          <t>pause</t>
        </is>
      </c>
      <c r="P16" s="2" t="inlineStr">
        <is>
          <t>Barbell Back Squat: 5 sets: 4/7/7/7/7 · paused reps  RIR 1  (Pause 2 s at the hardest point of every rep, then drive out of it. Top set heavy, then back off 10–15% for the remaining sets. Stop each set with about 1 rep left in the tank.)  rest 240 s
Leg Press: 4 × 6–8  RIR 2  rest 135 s
Front-Foot Elevated Split Squat: 4 × 6–8/side  RIR 2  rest 135 s
SUPERSET A (2 rounds, rest 60 s after each round)
  A1 Reverse Nordic Curl: 2 × 12–15  RIR 1
  A2 Roman Chair / GHD Glute-Ham Raise: 2 × 10–12  RIR 1</t>
        </is>
      </c>
      <c r="Q16" s="2" t="inlineStr">
        <is>
          <t>You're amped today, so we're adding a working set to Barbell Back Squat. Since you're an advanced lifter, we're keeping paused reps on Barbell Back Squat in the mix, and your strength goal keeps the main lift heavy with full rest.</t>
        </is>
      </c>
      <c r="R16" s="2" t="inlineStr">
        <is>
          <t>state = amped (expression: extra_set_paired) → intended: use_readiness_productively → realized: Barbell Back Squat 4→5 sets
experience = advanced → intended: match_programming_vocabulary_to_level → realized: paused reps on Barbell Back Squat; Barbell Back Squat runs to RIR 1 (advanced band position); higher-complexity movements kept in: Barbell Back Squat, Roman Chair / GHD Glute-Ham Raise; Top Set + Back-off shape
goal = build_strength → intended: primary_emphasis_heavier_longer_rest → realized: Top Set + Back-off shape (strength goal weights it up); Barbell Back Squat at 4–6 with full 240 s rest; paused reps on Barbell Back Squat
duration = 60 → intended: fill_the_requested_time_with_useful_work → realized: estimated 57.0 min for a 60-minute request
equipment = commercial_gym → intended: availability_only → realized: nothing (no claim made)
history = first session → intended: rotate_shape_and_movements_keep_the_main_lift → realized: nothing (no claim made)</t>
        </is>
      </c>
      <c r="S16" s="2" t="inlineStr">
        <is>
          <t>amped: attempt 0 expression 'extra_set_paired' realized ['volume'] no-ops [] → satisfied</t>
        </is>
      </c>
      <c r="T16" s="2" t="inlineStr">
        <is>
          <t>Barbell Back Squat (5 sets: 4/7/7/7/7 · paused reps) leads as the main lift, then 2 strength lifts and 2 accessories, with part of it run as a superset.
17 working sets across 5 exercises, about 57 minutes.
Main work stops about 1 rep short of failure.
Advanced difficulty keeps the full exercise range open; today the best fits sit within it without needing the most complex options.
Your profile goal is to build strength; today's Strength session is built from today's choices.</t>
        </is>
      </c>
      <c r="U16" s="2" t="n"/>
      <c r="V16" s="2" t="n"/>
    </row>
    <row r="17">
      <c r="A17" s="2" t="inlineStr">
        <is>
          <t>C. Amped</t>
        </is>
      </c>
      <c r="B17" s="2" t="inlineStr">
        <is>
          <t>Upper Body (mixed), 30, intermediate</t>
        </is>
      </c>
      <c r="C17" s="2" t="inlineStr">
        <is>
          <t>wes / 2026-10-23</t>
        </is>
      </c>
      <c r="D17" s="2" t="inlineStr">
        <is>
          <t>amped</t>
        </is>
      </c>
      <c r="E17" s="2" t="inlineStr">
        <is>
          <t>intermediate</t>
        </is>
      </c>
      <c r="F17" s="2" t="inlineStr">
        <is>
          <t>Build muscle</t>
        </is>
      </c>
      <c r="G17" s="2" t="n">
        <v>30</v>
      </c>
      <c r="H17" s="2" t="inlineStr">
        <is>
          <t>Upper Body (mixed)</t>
        </is>
      </c>
      <c r="I17" s="2" t="inlineStr">
        <is>
          <t>none</t>
        </is>
      </c>
      <c r="J17" s="2" t="inlineStr">
        <is>
          <t>first session</t>
        </is>
      </c>
      <c r="K17" s="2" t="inlineStr">
        <is>
          <t>Upper Body</t>
        </is>
      </c>
      <c r="L17" s="2" t="inlineStr">
        <is>
          <t>Compound + Paired Accessories</t>
        </is>
      </c>
      <c r="M17" s="2" t="n">
        <v>29.9</v>
      </c>
      <c r="N17" s="2" t="n">
        <v>9</v>
      </c>
      <c r="O17" s="2" t="inlineStr">
        <is>
          <t>rest_pause</t>
        </is>
      </c>
      <c r="P17" s="2" t="inlineStr">
        <is>
          <t>Barbell Bench Press: 4 × 5–7  RIR 2  rest 150 s
Chest-Supported Machine Row: 3 × 8–10  RIR 2  rest 120 s
Cable Lateral Raise: 2 × 15–20/side · rest-pause on the final set  RIR 1  (On the last set, hit the reps, rest 15 s, then add as many clean reps as you can. Stop each set with about 1 rep left in the tank.)  rest 45 s</t>
        </is>
      </c>
      <c r="Q17" s="2" t="inlineStr">
        <is>
          <t>You're amped today, so we're adding a working set to Barbell Bench Press and using rest-pause on the final set on Cable Lateral Raise. As an intermediate lifter, rest-pause on the final set on Cable Lateral Raise is on the table, and your muscle goal is why 1 accessory movement sits behind the main lifts.</t>
        </is>
      </c>
      <c r="R17" s="2" t="inlineStr">
        <is>
          <t>state = amped (expression: extra_set_paired) → intended: use_readiness_productively → realized: Barbell Bench Press 3→4 sets; rest-pause on the final set on Cable Lateral Raise
experience = intermediate → intended: match_programming_vocabulary_to_level → realized: rest-pause on the final set on Cable Lateral Raise (intermediate and up); intermediate pool: Barbell Bench Press
goal = build_muscle → intended: hypertrophy_volume_and_accessories → realized: Compound + Paired Accessories shape (muscle goal weights it up); 1 accessory movement behind the main lift, 2 accessory sets in the 10–20 range; rest-pause on the final set on Cable Lateral Raise
duration = 30 → intended: fill_the_requested_time_with_useful_work → realized: trimmed to fit: set_removed; 30-minute session: 3 exercises, 9 working sets, main work kept; estimated 29.9 min for a 30-minute request
equipment = commercial_gym → intended: availability_only → realized: nothing (no claim made)
history = first session → intended: rotate_shape_and_movements_keep_the_main_lift → realized: nothing (no claim made)</t>
        </is>
      </c>
      <c r="S17" s="2" t="inlineStr">
        <is>
          <t>amped: attempt 0 expression 'extra_set_paired' realized ['volume', 'set_method'] no-ops [] → satisfied</t>
        </is>
      </c>
      <c r="T17" s="2" t="inlineStr">
        <is>
          <t>30 minutes: 3 exercises and 9 working sets, with the main work kept.
Barbell Bench Press (4 × 5–7) leads as the main lift, then 1 strength lift and 1 accessory.
9 working sets across 3 exercises, about 30 minutes.
Main work stops about 2 reps short of failure, accessories about 1 rep short of failure.
Intermediate difficulty: every movement is within the intermediate complexity and skill limits.</t>
        </is>
      </c>
      <c r="U17" s="2" t="n"/>
      <c r="V17" s="2" t="n"/>
    </row>
    <row r="18">
      <c r="A18" s="2" t="inlineStr">
        <is>
          <t>C. Amped</t>
        </is>
      </c>
      <c r="B18" s="2" t="inlineStr">
        <is>
          <t>Glutes + Legs, 60, beginner</t>
        </is>
      </c>
      <c r="C18" s="2" t="inlineStr">
        <is>
          <t>wes / 2026-10-24</t>
        </is>
      </c>
      <c r="D18" s="2" t="inlineStr">
        <is>
          <t>amped</t>
        </is>
      </c>
      <c r="E18" s="2" t="inlineStr">
        <is>
          <t>beginner</t>
        </is>
      </c>
      <c r="F18" s="2" t="inlineStr">
        <is>
          <t>Build muscle</t>
        </is>
      </c>
      <c r="G18" s="2" t="n">
        <v>60</v>
      </c>
      <c r="H18" s="2" t="inlineStr">
        <is>
          <t>Glutes + Legs</t>
        </is>
      </c>
      <c r="I18" s="2" t="inlineStr">
        <is>
          <t>none</t>
        </is>
      </c>
      <c r="J18" s="2" t="inlineStr">
        <is>
          <t>first session</t>
        </is>
      </c>
      <c r="K18" s="2" t="inlineStr">
        <is>
          <t>Glutes + Legs</t>
        </is>
      </c>
      <c r="L18" s="2" t="inlineStr">
        <is>
          <t>Volume</t>
        </is>
      </c>
      <c r="M18" s="2" t="n">
        <v>54.9</v>
      </c>
      <c r="N18" s="2" t="n">
        <v>18</v>
      </c>
      <c r="O18" s="2" t="inlineStr"/>
      <c r="P18" s="2" t="inlineStr">
        <is>
          <t>Barbell Hip Thrust: 4 × 6–8  RIR 3  (Stop each set with about 3 reps left in the tank.)  rest 135 s
Pit Shark Belt Squat: 4 × 10–12  RIR 2  rest 120 s
Reverse Lunge: 4 × 10–12/side  RIR 2  rest 120 s
Machine Glute Kickback: 2 × 15–20/side  RIR 2  rest 60 s
SUPERSET A (2 rounds, rest 60 s after each round)
  A1 Seated Leg Curl: 2 × 15–20  RIR 2
  A2 Leg Extension: 2 × 15–20  RIR 2</t>
        </is>
      </c>
      <c r="Q18" s="2" t="inlineStr">
        <is>
          <t>You're amped today, so we're pushing the main lifts to the heavy end of their range. Since you're newer to lifting, the main work keeps at least two reps in reserve and the movements stay approachable, and your muscle goal is why 3 accessory movements sit behind the main lifts.</t>
        </is>
      </c>
      <c r="R18" s="2" t="inlineStr">
        <is>
          <t>state = amped (expression: heavy_end) → intended: use_readiness_productively → realized: Barbell Hip Thrust 8–10→6–8
experience = beginner → intended: match_programming_vocabulary_to_level → realized: beginner bands: every lift keeps 2+ reps in reserve, no exercise above 4 sets; beginner-rated, low-complexity movements only; no advanced set methods
goal = build_muscle → intended: hypertrophy_volume_and_accessories → realized: Volume shape (muscle goal weights it up); 3 accessory movements behind the main lift, 6 accessory sets in the 10–20 range
duration = 60 → intended: fill_the_requested_time_with_useful_work → realized: trimmed to fit: accessory_rest_shortened, finisher_dropped, set_removed; estimated 54.9 min for a 60-minute request
equipment = commercial_gym → intended: availability_only → realized: nothing (no claim made)
history = first session → intended: rotate_shape_and_movements_keep_the_main_lift → realized: nothing (no claim made)</t>
        </is>
      </c>
      <c r="S18" s="2" t="inlineStr">
        <is>
          <t>amped: attempt 0 expression 'extra_set_paired' realized [] no-ops ['state_volume_no_effect'] → NOT satisfied
amped: fallback extra_set_paired → heavy_end
amped: attempt 1 expression 'heavy_end' realized ['reps'] no-ops ['state_rir_no_effect'] → satisfied</t>
        </is>
      </c>
      <c r="T18" s="2" t="inlineStr">
        <is>
          <t>Beginner difficulty applies MOOD's beginner exercise rules: all 6 movements are beginner-rated and technically approachable.
Barbell Hip Thrust (4 × 6–8) leads as the main lift, then 2 strength lifts and 3 accessories, with part of it run as a superset.
18 working sets across 6 exercises, about 55 minutes.
Main work stops about 3 reps short of failure, accessories about 2 reps short of failure.
Your profile goal is to build muscle; today's Strength session is built from today's choices.</t>
        </is>
      </c>
      <c r="U18" s="2" t="n"/>
      <c r="V18" s="2" t="n"/>
    </row>
    <row r="19">
      <c r="A19" s="2" t="inlineStr">
        <is>
          <t>D. Irritated</t>
        </is>
      </c>
      <c r="B19" s="2" t="inlineStr">
        <is>
          <t>Upper Push, 60, intermediate</t>
        </is>
      </c>
      <c r="C19" s="2" t="inlineStr">
        <is>
          <t>wes / 2026-10-14</t>
        </is>
      </c>
      <c r="D19" s="2" t="inlineStr">
        <is>
          <t>irritated</t>
        </is>
      </c>
      <c r="E19" s="2" t="inlineStr">
        <is>
          <t>intermediate</t>
        </is>
      </c>
      <c r="F19" s="2" t="inlineStr">
        <is>
          <t>Build muscle</t>
        </is>
      </c>
      <c r="G19" s="2" t="n">
        <v>60</v>
      </c>
      <c r="H19" s="2" t="inlineStr">
        <is>
          <t>Upper Push</t>
        </is>
      </c>
      <c r="I19" s="2" t="inlineStr">
        <is>
          <t>none</t>
        </is>
      </c>
      <c r="J19" s="2" t="inlineStr">
        <is>
          <t>first session</t>
        </is>
      </c>
      <c r="K19" s="2" t="inlineStr">
        <is>
          <t>Upper Push</t>
        </is>
      </c>
      <c r="L19" s="2" t="inlineStr">
        <is>
          <t>Top Set + Back-off</t>
        </is>
      </c>
      <c r="M19" s="2" t="n">
        <v>57.5</v>
      </c>
      <c r="N19" s="2" t="n">
        <v>21</v>
      </c>
      <c r="O19" s="2" t="inlineStr"/>
      <c r="P19" s="2" t="inlineStr">
        <is>
          <t>Barbell Bench Press: 4 sets: 4/7/7/7  RIR 2  (Top set heavy, then back off 10–15% for the remaining sets. Stop each set with about 2 reps left in the tank.)  rest 225 s
Parallel Bar Dip: 4 × 8–10  RIR 2  rest 135 s
Smith Machine Incline Press: 4 × 8–10  RIR 2  rest 135 s
SUPERSET A (3 rounds, rest 60 s after each round)
  A1 Dumbbell Fly: 3 × 10–12  RIR 1
  A2 Cable Triceps Pressdown: 3 × 10–12  RIR 1
EZ-Bar Skull Crusher: 3 × 10–12  RIR 1  rest 60 s</t>
        </is>
      </c>
      <c r="Q19" s="2" t="inlineStr">
        <is>
          <t>You're irritated today, so we're keeping the structure direct and loading the main lifts heavier. As an intermediate lifter, the top-set scheme is in play, and your muscle goal is why 3 accessory movements sit behind the main lifts.</t>
        </is>
      </c>
      <c r="R19" s="2" t="inlineStr">
        <is>
          <t>state = irritated (expression: forceful_finish) → intended: direct_physical_cathartic_work → realized: Barbell Bench Press 5–7→4–6; Top Set + Back-off instead of Compound + Paired Accessories
experience = intermediate → intended: match_programming_vocabulary_to_level → realized: Top Set + Back-off (intermediate and up); intermediate pool: Barbell Bench Press, Parallel Bar Dip
goal = build_muscle → intended: hypertrophy_volume_and_accessories → realized: 3 accessory movements behind the main lift, 9 accessory sets in the 10–20 range
duration = 60 → intended: fill_the_requested_time_with_useful_work → realized: estimated 57.5 min for a 60-minute request
equipment = commercial_gym → intended: availability_only → realized: nothing (no claim made)
history = first session → intended: rotate_shape_and_movements_keep_the_main_lift → realized: nothing (no claim made)</t>
        </is>
      </c>
      <c r="S19" s="2" t="inlineStr">
        <is>
          <t>irritated: attempt 0 expression 'forceful_finish' realized ['reps', 'structure'] no-ops [] → satisfied</t>
        </is>
      </c>
      <c r="T19" s="2" t="inlineStr">
        <is>
          <t>Barbell Bench Press (4 sets: 4/7/7/7) leads as the main lift, then 2 strength lifts and 3 accessories, with part of it run as a superset.
21 working sets across 6 exercises, about 58 minutes.
Main work stops about 2 reps short of failure, accessories about 1 rep short of failure.
Intermediate difficulty: every movement is within the intermediate complexity and skill limits.
Your profile goal is to build muscle; today's Strength session is built from today's choices.</t>
        </is>
      </c>
      <c r="U19" s="2" t="n"/>
      <c r="V19" s="2" t="n"/>
    </row>
    <row r="20">
      <c r="A20" s="2" t="inlineStr">
        <is>
          <t>D. Irritated</t>
        </is>
      </c>
      <c r="B20" s="2" t="inlineStr">
        <is>
          <t>Glutes + Legs, 60, intermediate</t>
        </is>
      </c>
      <c r="C20" s="2" t="inlineStr">
        <is>
          <t>wes / 2026-10-24</t>
        </is>
      </c>
      <c r="D20" s="2" t="inlineStr">
        <is>
          <t>irritated</t>
        </is>
      </c>
      <c r="E20" s="2" t="inlineStr">
        <is>
          <t>intermediate</t>
        </is>
      </c>
      <c r="F20" s="2" t="inlineStr">
        <is>
          <t>Build muscle</t>
        </is>
      </c>
      <c r="G20" s="2" t="n">
        <v>60</v>
      </c>
      <c r="H20" s="2" t="inlineStr">
        <is>
          <t>Glutes + Legs</t>
        </is>
      </c>
      <c r="I20" s="2" t="inlineStr">
        <is>
          <t>none</t>
        </is>
      </c>
      <c r="J20" s="2" t="inlineStr">
        <is>
          <t>first session</t>
        </is>
      </c>
      <c r="K20" s="2" t="inlineStr">
        <is>
          <t>Glutes + Legs</t>
        </is>
      </c>
      <c r="L20" s="2" t="inlineStr">
        <is>
          <t>Traditional</t>
        </is>
      </c>
      <c r="M20" s="2" t="n">
        <v>57.9</v>
      </c>
      <c r="N20" s="2" t="n">
        <v>20</v>
      </c>
      <c r="O20" s="2" t="inlineStr"/>
      <c r="P20" s="2" t="inlineStr">
        <is>
          <t>Barbell Hip Thrust: 4 × 5–7  RIR 2  rest 165 s
Trap-Bar Deadlift: 4 × 8–10  RIR 2  rest 120 s
Reverse Lunge: 4 × 8–10/side  RIR 2  rest 120 s
Machine Glute Kickback: 4 × 10–12/side  RIR 1  rest 60 s
Reverse Nordic Curl: 4 × 12–15  RIR 1  rest 60 s</t>
        </is>
      </c>
      <c r="Q20" s="2" t="inlineStr">
        <is>
          <t>You're irritated today, so we're keeping the structure direct. Your muscle goal is why 2 accessory movements sit behind the main lifts.</t>
        </is>
      </c>
      <c r="R20" s="2" t="inlineStr">
        <is>
          <t>state = irritated (expression: direct_simple) → intended: direct_physical_cathartic_work → realized: Traditional instead of Volume
experience = intermediate → intended: match_programming_vocabulary_to_level → realized: intermediate pool: Trap-Bar Deadlift
goal = build_muscle → intended: hypertrophy_volume_and_accessories → realized: 2 accessory movements behind the main lift, 8 accessory sets in the 10–20 range
duration = 60 → intended: fill_the_requested_time_with_useful_work → realized: trimmed to fit: finisher_dropped; estimated 57.9 min for a 60-minute request
equipment = commercial_gym → intended: availability_only → realized: nothing (no claim made)
history = first session → intended: rotate_shape_and_movements_keep_the_main_lift → realized: nothing (no claim made)</t>
        </is>
      </c>
      <c r="S20" s="2" t="inlineStr">
        <is>
          <t>irritated: attempt 0 expression 'direct_simple' realized ['structure'] no-ops ['state_reps_no_effect'] → satisfied</t>
        </is>
      </c>
      <c r="T20" s="2" t="inlineStr">
        <is>
          <t>Barbell Hip Thrust (4 × 5–7) leads as the main lift, then 2 strength lifts and 2 accessories.
20 working sets across 5 exercises, about 58 minutes.
Main work stops about 2 reps short of failure, accessories about 1 rep short of failure.
Intermediate difficulty: every movement is within the intermediate complexity and skill limits.
Your profile goal is to build muscle; today's Strength session is built from today's choices.</t>
        </is>
      </c>
      <c r="U20" s="2" t="n"/>
      <c r="V20" s="2" t="n"/>
    </row>
    <row r="21">
      <c r="A21" s="2" t="inlineStr">
        <is>
          <t>D. Irritated</t>
        </is>
      </c>
      <c r="B21" s="2" t="inlineStr">
        <is>
          <t>Upper Pull, 30, intermediate</t>
        </is>
      </c>
      <c r="C21" s="2" t="inlineStr">
        <is>
          <t>wes / 2026-10-25</t>
        </is>
      </c>
      <c r="D21" s="2" t="inlineStr">
        <is>
          <t>irritated</t>
        </is>
      </c>
      <c r="E21" s="2" t="inlineStr">
        <is>
          <t>intermediate</t>
        </is>
      </c>
      <c r="F21" s="2" t="inlineStr">
        <is>
          <t>Build muscle</t>
        </is>
      </c>
      <c r="G21" s="2" t="n">
        <v>30</v>
      </c>
      <c r="H21" s="2" t="inlineStr">
        <is>
          <t>Upper Pull</t>
        </is>
      </c>
      <c r="I21" s="2" t="inlineStr">
        <is>
          <t>none</t>
        </is>
      </c>
      <c r="J21" s="2" t="inlineStr">
        <is>
          <t>first session</t>
        </is>
      </c>
      <c r="K21" s="2" t="inlineStr">
        <is>
          <t>Upper Pull</t>
        </is>
      </c>
      <c r="L21" s="2" t="inlineStr">
        <is>
          <t>Heavy Primary</t>
        </is>
      </c>
      <c r="M21" s="2" t="n">
        <v>30.5</v>
      </c>
      <c r="N21" s="2" t="n">
        <v>9</v>
      </c>
      <c r="O21" s="2" t="inlineStr">
        <is>
          <t>drop_set</t>
        </is>
      </c>
      <c r="P21" s="2" t="inlineStr">
        <is>
          <t>Chest-Supported Machine Row: 4 × 4–6  RIR 2  (Move the bar with intent: controlled down, drive up as fast as it will go. Stop each set with about 2 reps left in the tank.)  rest 210 s
Neutral-Grip Lat Pulldown: 3 × 8–10 · drop set on the final set  RIR 2  (On the last set, hit the reps, drop the load about 25% and go again to the same reps-in-reserve. Stop each set with about 2 reps left in the tank.)  rest 120 s
Barbell Curl: 2 × 10–12  RIR 1  rest 45 s</t>
        </is>
      </c>
      <c r="Q21" s="2" t="inlineStr">
        <is>
          <t>You're irritated today, so we're building the session around heavy, simple compound work, driving every rep of Chest-Supported Machine Row with intent and giving the heavy work full rest so it stays heavy. As an intermediate lifter, drop set on the final set on Neutral-Grip Lat Pulldown is on the table, and your muscle goal is why 1 accessory movement sits behind the main lifts.</t>
        </is>
      </c>
      <c r="R21" s="2" t="inlineStr">
        <is>
          <t>state = irritated (expression: heavy_primary) → intended: direct_physical_cathartic_work → realized: Chest-Supported Machine Row rest 210→225 s; Neutral-Grip Lat Pulldown rest 120→135 s; explosive intent on Chest-Supported Machine Row; Heavy Primary instead of Compound + Paired Accessories
experience = intermediate → intended: match_programming_vocabulary_to_level → realized: drop set on the final set on Neutral-Grip Lat Pulldown (intermediate and up)
goal = build_muscle → intended: hypertrophy_volume_and_accessories → realized: 1 accessory movement behind the main lift, 2 accessory sets in the 10–20 range; drop set on the final set on Neutral-Grip Lat Pulldown
duration = 30 → intended: fill_the_requested_time_with_useful_work → realized: trimmed to fit: rest_shortened, set_removed; 30-minute session: 3 exercises, 9 working sets, main work kept; estimated 30.5 min for a 30-minute request
equipment = commercial_gym → intended: availability_only → realized: nothing (no claim made)
history = first session → intended: rotate_shape_and_movements_keep_the_main_lift → realized: nothing (no claim made)</t>
        </is>
      </c>
      <c r="S21" s="2" t="inlineStr">
        <is>
          <t>irritated: attempt 0 expression 'direct_simple' realized [] no-ops ['state_reps_no_effect'] → NOT satisfied
irritated: fallback direct_simple → heavy_primary
irritated: attempt 1 expression 'heavy_primary' realized ['rest', 'tempo', 'structure'] no-ops ['state_reps_no_effect'] → satisfied</t>
        </is>
      </c>
      <c r="T21" s="2" t="inlineStr">
        <is>
          <t>30 minutes: 3 exercises and 9 working sets, with the main work kept.
Chest-Supported Machine Row (4 × 4–6) leads as the main lift, then 1 strength lift and 1 accessory.
9 working sets across 3 exercises, about 30 minutes.
Main work stops about 2 reps short of failure, accessories about 1 rep short of failure.
Intermediate difficulty: every movement is within the intermediate complexity and skill limits.</t>
        </is>
      </c>
      <c r="U21" s="2" t="n"/>
      <c r="V21" s="2" t="n"/>
    </row>
    <row r="22">
      <c r="A22" s="2" t="inlineStr">
        <is>
          <t>D. Irritated</t>
        </is>
      </c>
      <c r="B22" s="2" t="inlineStr">
        <is>
          <t>Lower Body: Hinge, 60, advanced</t>
        </is>
      </c>
      <c r="C22" s="2" t="inlineStr">
        <is>
          <t>wes / 2026-10-26</t>
        </is>
      </c>
      <c r="D22" s="2" t="inlineStr">
        <is>
          <t>irritated</t>
        </is>
      </c>
      <c r="E22" s="2" t="inlineStr">
        <is>
          <t>advanced</t>
        </is>
      </c>
      <c r="F22" s="2" t="inlineStr">
        <is>
          <t>Build muscle</t>
        </is>
      </c>
      <c r="G22" s="2" t="n">
        <v>60</v>
      </c>
      <c r="H22" s="2" t="inlineStr">
        <is>
          <t>Lower Body: Hinge</t>
        </is>
      </c>
      <c r="I22" s="2" t="inlineStr">
        <is>
          <t>none</t>
        </is>
      </c>
      <c r="J22" s="2" t="inlineStr">
        <is>
          <t>first session</t>
        </is>
      </c>
      <c r="K22" s="2" t="inlineStr">
        <is>
          <t>Lower Body: Hinge</t>
        </is>
      </c>
      <c r="L22" s="2" t="inlineStr">
        <is>
          <t>Traditional</t>
        </is>
      </c>
      <c r="M22" s="2" t="n">
        <v>58.3</v>
      </c>
      <c r="N22" s="2" t="n">
        <v>20</v>
      </c>
      <c r="O22" s="2" t="inlineStr"/>
      <c r="P22" s="2" t="inlineStr">
        <is>
          <t>Barbell Romanian Deadlift: 4 × 4–6  RIR 1  (Move the bar with intent: controlled down, drive up as fast as it will go. Stop each set with about 1 rep left in the tank.)  rest 195 s
Cable Pull-Through: 4 × 8–10  RIR 2  rest 135 s
Curtsy Lunge: 4 × 8–10/side  RIR 2  rest 135 s
Seated Leg Curl: 4 × 10–12  RIR 1  rest 60 s
Ab Wheel Rollout: 4 × 10–12  RIR 1  rest 60 s</t>
        </is>
      </c>
      <c r="Q22" s="2" t="inlineStr">
        <is>
          <t>You're irritated today, so we're loading the main lifts heavier, driving every rep of Barbell Romanian Deadlift with intent and giving the heavy work full rest so it stays heavy. Since you're an advanced lifter, Barbell Romanian Deadlift runs to a rep from failure, and your muscle goal is why 2 accessory movements sit behind the main lifts.</t>
        </is>
      </c>
      <c r="R22" s="2" t="inlineStr">
        <is>
          <t>state = irritated (expression: heavy_primary) → intended: direct_physical_cathartic_work → realized: Barbell Romanian Deadlift 5–7→4–6; Barbell Romanian Deadlift rest 165→195 s; Cable Pull-Through rest 120→135 s; Curtsy Lunge rest 120→135 s; explosive intent on Barbell Romanian Deadlift
experience = advanced → intended: match_programming_vocabulary_to_level → realized: Barbell Romanian Deadlift runs to RIR 1 (advanced band position); higher-complexity movements kept in: Barbell Romanian Deadlift, Curtsy Lunge, Ab Wheel Rollout
goal = build_muscle → intended: hypertrophy_volume_and_accessories → realized: 2 accessory movements behind the main lift, 8 accessory sets in the 10–20 range
duration = 60 → intended: fill_the_requested_time_with_useful_work → realized: estimated 58.3 min for a 60-minute request
equipment = commercial_gym → intended: availability_only → realized: nothing (no claim made)
history = first session → intended: rotate_shape_and_movements_keep_the_main_lift → realized: nothing (no claim made)</t>
        </is>
      </c>
      <c r="S22" s="2" t="inlineStr">
        <is>
          <t>irritated: attempt 0 expression 'forceful_finish' realized [] no-ops ['state_reps_no_effect'] → NOT satisfied
irritated: fallback forceful_finish → heavy_primary
irritated: attempt 1 expression 'heavy_primary' realized ['reps', 'rest', 'tempo'] no-ops [] → satisfied</t>
        </is>
      </c>
      <c r="T22" s="2" t="inlineStr">
        <is>
          <t>Barbell Romanian Deadlift (4 × 4–6) leads as the main lift, then 2 strength lifts and 2 accessories.
20 working sets across 5 exercises, about 58 minutes.
Main work stops about 1 rep short of failure.
Advanced difficulty keeps the full exercise range open; today the best fits sit within it without needing the most complex options.
Your profile goal is to build muscle; today's Strength session is built from today's choices.</t>
        </is>
      </c>
      <c r="U22" s="2" t="n"/>
      <c r="V22" s="2" t="n"/>
    </row>
    <row r="23">
      <c r="A23" s="2" t="inlineStr">
        <is>
          <t>E. Bored</t>
        </is>
      </c>
      <c r="B23" s="2" t="inlineStr">
        <is>
          <t>Upper Push, 60, intermediate</t>
        </is>
      </c>
      <c r="C23" s="2" t="inlineStr">
        <is>
          <t>wes / 2026-10-14</t>
        </is>
      </c>
      <c r="D23" s="2" t="inlineStr">
        <is>
          <t>bored</t>
        </is>
      </c>
      <c r="E23" s="2" t="inlineStr">
        <is>
          <t>intermediate</t>
        </is>
      </c>
      <c r="F23" s="2" t="inlineStr">
        <is>
          <t>Build muscle</t>
        </is>
      </c>
      <c r="G23" s="2" t="n">
        <v>60</v>
      </c>
      <c r="H23" s="2" t="inlineStr">
        <is>
          <t>Upper Push</t>
        </is>
      </c>
      <c r="I23" s="2" t="inlineStr">
        <is>
          <t>none</t>
        </is>
      </c>
      <c r="J23" s="2" t="inlineStr">
        <is>
          <t>first session</t>
        </is>
      </c>
      <c r="K23" s="2" t="inlineStr">
        <is>
          <t>Upper Push</t>
        </is>
      </c>
      <c r="L23" s="2" t="inlineStr">
        <is>
          <t>Compound + Paired Accessories</t>
        </is>
      </c>
      <c r="M23" s="2" t="n">
        <v>53.8</v>
      </c>
      <c r="N23" s="2" t="n">
        <v>19</v>
      </c>
      <c r="O23" s="2" t="inlineStr">
        <is>
          <t>one_and_half</t>
        </is>
      </c>
      <c r="P23" s="2" t="inlineStr">
        <is>
          <t>Barbell Bench Press: 4 × 5–7  RIR 2  rest 180 s
Parallel Bar Dip: 4 × 8–10  RIR 2  rest 120 s
Smith Machine Incline Press: 4 × 8–10 · 1.5 reps  RIR 2  (Full rep, half rep from the stretched position, back to the top: that is one rep. Stop each set with about 2 reps left in the tank.)  rest 120 s
SUPERSET A (2 rounds, rest 60 s after each round)
  A1 Low-to-High Cable Fly: 2 × 12–15  RIR 1
  A2 Dumbbell Overhead Triceps Extension: 2 × 12–15  RIR 1
LADDER Cross-Body Cable Triceps Extension: 3 sets: 15/12/9  RIR 1  rest 30 s</t>
        </is>
      </c>
      <c r="Q23" s="2" t="inlineStr">
        <is>
          <t>You're bored today, so we're changing the feel with 1.5 reps on the Smith Machine Incline Press and bringing in 3 less-familiar movements. Your muscle goal is why 3 accessory movements sit behind the main lifts.</t>
        </is>
      </c>
      <c r="R23" s="2" t="inlineStr">
        <is>
          <t>state = bored (expression: new_structure) → intended: refresh_the_experience → realized: 1.5 reps on Smith Machine Incline Press; Dumbbell Fly → Low-to-High Cable Fly; Cable Triceps Pressdown → Dumbbell Overhead Triceps Extension; EZ-Bar Skull Crusher → Cross-Body Cable Triceps Extension
experience = intermediate → intended: match_programming_vocabulary_to_level → realized: 1.5 reps on Smith Machine Incline Press (intermediate and up); intermediate pool: Barbell Bench Press, Parallel Bar Dip
goal = build_muscle → intended: hypertrophy_volume_and_accessories → realized: Compound + Paired Accessories shape (muscle goal weights it up); 3 accessory movements behind the main lift, 7 accessory sets in the 10–20 range; 1.5 reps on Smith Machine Incline Press
duration = 60 → intended: fill_the_requested_time_with_useful_work → realized: trimmed to fit: set_removed; estimated 53.8 min for a 60-minute request
equipment = commercial_gym → intended: availability_only → realized: nothing (no claim made)
history = first session → intended: rotate_shape_and_movements_keep_the_main_lift → realized: nothing (no claim made)</t>
        </is>
      </c>
      <c r="S23" s="2" t="inlineStr">
        <is>
          <t>bored: attempt 0 expression 'new_structure' realized ['set_method', 'exercises'] no-ops [] → satisfied</t>
        </is>
      </c>
      <c r="T23" s="2" t="inlineStr">
        <is>
          <t>Barbell Bench Press (4 × 5–7) leads as the main lift, then 2 strength lifts and 3 accessories, with part of it run as a superset.
19 working sets across 6 exercises, about 54 minutes.
Main work stops about 2 reps short of failure, accessories about 1 rep short of failure.
Intermediate difficulty: every movement is within the intermediate complexity and skill limits.
Your profile goal is to build muscle; today's Strength session is built from today's choices.</t>
        </is>
      </c>
      <c r="U23" s="2" t="n"/>
      <c r="V23" s="2" t="n"/>
    </row>
    <row r="24">
      <c r="A24" s="2" t="inlineStr">
        <is>
          <t>E. Bored</t>
        </is>
      </c>
      <c r="B24" s="2" t="inlineStr">
        <is>
          <t>Lower Body: Squat, 60, intermediate</t>
        </is>
      </c>
      <c r="C24" s="2" t="inlineStr">
        <is>
          <t>wes / 2026-10-26</t>
        </is>
      </c>
      <c r="D24" s="2" t="inlineStr">
        <is>
          <t>bored</t>
        </is>
      </c>
      <c r="E24" s="2" t="inlineStr">
        <is>
          <t>intermediate</t>
        </is>
      </c>
      <c r="F24" s="2" t="inlineStr">
        <is>
          <t>Build muscle</t>
        </is>
      </c>
      <c r="G24" s="2" t="n">
        <v>60</v>
      </c>
      <c r="H24" s="2" t="inlineStr">
        <is>
          <t>Lower Body: Squat</t>
        </is>
      </c>
      <c r="I24" s="2" t="inlineStr">
        <is>
          <t>none</t>
        </is>
      </c>
      <c r="J24" s="2" t="inlineStr">
        <is>
          <t>first session</t>
        </is>
      </c>
      <c r="K24" s="2" t="inlineStr">
        <is>
          <t>Lower Body: Squat</t>
        </is>
      </c>
      <c r="L24" s="2" t="inlineStr">
        <is>
          <t>Compound + Paired Accessories</t>
        </is>
      </c>
      <c r="M24" s="2" t="n">
        <v>55.2</v>
      </c>
      <c r="N24" s="2" t="n">
        <v>20</v>
      </c>
      <c r="O24" s="2" t="inlineStr">
        <is>
          <t>one_and_half</t>
        </is>
      </c>
      <c r="P24" s="2" t="inlineStr">
        <is>
          <t>Barbell Back Squat: 4 × 5–7  RIR 2  rest 180 s
Leg Press: 4 × 8–10 · 1.5 reps  RIR 2  (Full rep, half rep from the stretched position, back to the top: that is one rep. Stop each set with about 2 reps left in the tank.)  rest 120 s
Lateral Step-Up: 4 × 8–10/side  RIR 2  rest 120 s
SUPERSET A (4 rounds, rest 60 s after each round)
  A1 Reverse Nordic Curl: 4 × 12–15  RIR 1
  A2 Roman Chair / GHD Glute-Ham Raise: 4 × 12–15  RIR 1</t>
        </is>
      </c>
      <c r="Q24" s="2" t="inlineStr">
        <is>
          <t>You're bored today, so we're changing the feel with 1.5 reps on the Leg Press and bringing in 2 less-familiar movements. Your muscle goal is why 2 accessory movements sit behind the main lifts.</t>
        </is>
      </c>
      <c r="R24" s="2" t="inlineStr">
        <is>
          <t>state = bored (expression: new_exercises) → intended: refresh_the_experience → realized: 1.5 reps on Leg Press; Bulgarian Split Squat → Lateral Step-Up; Leg Extension → Reverse Nordic Curl
experience = intermediate → intended: match_programming_vocabulary_to_level → realized: 1.5 reps on Leg Press (intermediate and up); intermediate pool: Barbell Back Squat, Roman Chair / GHD Glute-Ham Raise
goal = build_muscle → intended: hypertrophy_volume_and_accessories → realized: Compound + Paired Accessories shape (muscle goal weights it up); 2 accessory movements behind the main lift, 8 accessory sets in the 10–20 range; 1.5 reps on Leg Press
duration = 60 → intended: fill_the_requested_time_with_useful_work → realized: estimated 55.2 min for a 60-minute request
equipment = commercial_gym → intended: availability_only → realized: nothing (no claim made)
history = first session → intended: rotate_shape_and_movements_keep_the_main_lift → realized: nothing (no claim made)</t>
        </is>
      </c>
      <c r="S24" s="2" t="inlineStr">
        <is>
          <t>bored: attempt 0 expression 'new_exercises' realized ['set_method', 'exercises'] no-ops [] → satisfied</t>
        </is>
      </c>
      <c r="T24" s="2" t="inlineStr">
        <is>
          <t>Barbell Back Squat (4 × 5–7) leads as the main lift, then 2 strength lifts and 2 accessories, with part of it run as a superset.
20 working sets across 5 exercises, about 55 minutes.
Main work stops about 2 reps short of failure, accessories about 1 rep short of failure.
Intermediate difficulty: every movement is within the intermediate complexity and skill limits.
Your profile goal is to build muscle; today's Strength session is built from today's choices.</t>
        </is>
      </c>
      <c r="U24" s="2" t="n"/>
      <c r="V24" s="2" t="n"/>
    </row>
    <row r="25">
      <c r="A25" s="2" t="inlineStr">
        <is>
          <t>E. Bored</t>
        </is>
      </c>
      <c r="B25" s="2" t="inlineStr">
        <is>
          <t>Arms, 30, intermediate</t>
        </is>
      </c>
      <c r="C25" s="2" t="inlineStr">
        <is>
          <t>wes / 2026-10-27</t>
        </is>
      </c>
      <c r="D25" s="2" t="inlineStr">
        <is>
          <t>bored</t>
        </is>
      </c>
      <c r="E25" s="2" t="inlineStr">
        <is>
          <t>intermediate</t>
        </is>
      </c>
      <c r="F25" s="2" t="inlineStr">
        <is>
          <t>Build muscle</t>
        </is>
      </c>
      <c r="G25" s="2" t="n">
        <v>30</v>
      </c>
      <c r="H25" s="2" t="inlineStr">
        <is>
          <t>Arms</t>
        </is>
      </c>
      <c r="I25" s="2" t="inlineStr">
        <is>
          <t>none</t>
        </is>
      </c>
      <c r="J25" s="2" t="inlineStr">
        <is>
          <t>first session</t>
        </is>
      </c>
      <c r="K25" s="2" t="inlineStr">
        <is>
          <t>Arms</t>
        </is>
      </c>
      <c r="L25" s="2" t="inlineStr">
        <is>
          <t>Efficient</t>
        </is>
      </c>
      <c r="M25" s="2" t="n">
        <v>25.5</v>
      </c>
      <c r="N25" s="2" t="n">
        <v>12</v>
      </c>
      <c r="O25" s="2" t="inlineStr"/>
      <c r="P25" s="2" t="inlineStr">
        <is>
          <t>SUPERSET A (4 rounds, rest 120 s after each round)
  A1 High Cable Curl: 4 × 10–12  RIR 2
  A2 Dumbbell Skull Crusher: 4 × 10–12  RIR 2
Lu Raise: 4 × 15–20  RIR 1  rest 45 s</t>
        </is>
      </c>
      <c r="Q25" s="2" t="inlineStr">
        <is>
          <t>You're bored today, so we're bringing in 1 less-familiar movement. Your muscle goal keeps 1 accessory movement working at moderate reps.</t>
        </is>
      </c>
      <c r="R25" s="2" t="inlineStr">
        <is>
          <t>state = bored (expression: new_structure) → intended: refresh_the_experience → realized: Dumbbell Lateral Raise → Lu Raise
experience = intermediate → intended: match_programming_vocabulary_to_level → realized: intermediate pool: Lu Raise
goal = build_muscle → intended: hypertrophy_volume_and_accessories → realized: 1 accessory movement, 4 accessory sets in the 10–20 range
duration = 30 → intended: fill_the_requested_time_with_useful_work → realized: filled toward the requested time: rest_extended, set_added; 30-minute session: 3 exercises, 12 working sets, main work kept; estimated 25.5 min for a 30-minute request
equipment = commercial_gym → intended: availability_only → realized: nothing (no claim made)
history = first session → intended: rotate_shape_and_movements_keep_the_main_lift → realized: nothing (no claim made)</t>
        </is>
      </c>
      <c r="S25" s="2" t="inlineStr">
        <is>
          <t>bored: attempt 0 expression 'new_structure' realized ['exercises'] no-ops [] → satisfied</t>
        </is>
      </c>
      <c r="T25" s="2" t="inlineStr">
        <is>
          <t>30 minutes: 3 exercises and 12 working sets, with the main work kept.
High Cable Curl (4 × 10–12) opens the session, then 2 strength lifts and 1 accessory, with part of it run as a superset.
12 working sets across 3 exercises, about 26 minutes.
Main work stops about 2 reps short of failure, accessories about 1 rep short of failure.
Intermediate difficulty: every movement is within the intermediate complexity and skill limits.</t>
        </is>
      </c>
      <c r="U25" s="2" t="n"/>
      <c r="V25" s="2" t="n"/>
    </row>
    <row r="26">
      <c r="A26" s="2" t="inlineStr">
        <is>
          <t>E. Bored</t>
        </is>
      </c>
      <c r="B26" s="2" t="inlineStr">
        <is>
          <t>Upper Pull, 60, advanced</t>
        </is>
      </c>
      <c r="C26" s="2" t="inlineStr">
        <is>
          <t>wes / 2026-10-28</t>
        </is>
      </c>
      <c r="D26" s="2" t="inlineStr">
        <is>
          <t>bored</t>
        </is>
      </c>
      <c r="E26" s="2" t="inlineStr">
        <is>
          <t>advanced</t>
        </is>
      </c>
      <c r="F26" s="2" t="inlineStr">
        <is>
          <t>Build muscle</t>
        </is>
      </c>
      <c r="G26" s="2" t="n">
        <v>60</v>
      </c>
      <c r="H26" s="2" t="inlineStr">
        <is>
          <t>Upper Pull</t>
        </is>
      </c>
      <c r="I26" s="2" t="inlineStr">
        <is>
          <t>none</t>
        </is>
      </c>
      <c r="J26" s="2" t="inlineStr">
        <is>
          <t>first session</t>
        </is>
      </c>
      <c r="K26" s="2" t="inlineStr">
        <is>
          <t>Upper Pull</t>
        </is>
      </c>
      <c r="L26" s="2" t="inlineStr">
        <is>
          <t>Volume</t>
        </is>
      </c>
      <c r="M26" s="2" t="n">
        <v>56</v>
      </c>
      <c r="N26" s="2" t="n">
        <v>18</v>
      </c>
      <c r="O26" s="2" t="inlineStr">
        <is>
          <t>drop_set, one_and_half</t>
        </is>
      </c>
      <c r="P26" s="2" t="inlineStr">
        <is>
          <t>Chest-Supported Machine Row: 4 × 6–8  RIR 2  rest 150 s
Pull-Up: 4 × 10–12  RIR 2  rest 120 s
Meadows Row: 4 × 10–12/side  RIR 2  rest 120 s
Dumbbell Pullover: 2 × 12–15 · drop set on the final set  RIR 1  (On the last set, hit the reps, drop the load about 25% and go again to the same reps-in-reserve. Stop each set with about 1 rep left in the tank.)  rest 60 s
Bayesian Cable Curl: 2 × 12–15/side · 1.5 reps  RIR 1  (Full rep, half rep from the stretched position, back to the top: that is one rep. Stop each set with about 1 rep left in the tank.)  rest 60 s
Barbell Curl: 2 × 12–15  RIR 1  rest 60 s</t>
        </is>
      </c>
      <c r="Q26" s="2" t="inlineStr">
        <is>
          <t>You're bored today, so we're changing the feel with drop set on the final set on the Dumbbell Pullover and bringing in 4 less-familiar movements. Since you're an advanced lifter, we're keeping drop set on the final set on Dumbbell Pullover and 1.5 reps on Bayesian Cable Curl in the mix, and your muscle goal is why 3 accessory movements sit behind the main lifts.</t>
        </is>
      </c>
      <c r="R26" s="2" t="inlineStr">
        <is>
          <t>state = bored (expression: new_exercises) → intended: refresh_the_experience → realized: drop set on the final set on Dumbbell Pullover; 1.5 reps on Bayesian Cable Curl; T-Bar Row → Meadows Row; Straight-Arm Pulldown → Dumbbell Pullover; EZ-Bar Curl → Bayesian Cable Curl; Spider Curl → Barbell Curl
experience = advanced → intended: match_programming_vocabulary_to_level → realized: drop set on the final set on Dumbbell Pullover; 1.5 reps on Bayesian Cable Curl; higher-complexity movements kept in: Pull-Up, Meadows Row
goal = build_muscle → intended: hypertrophy_volume_and_accessories → realized: Volume shape (muscle goal weights it up); 3 accessory movements behind the main lift, 6 accessory sets in the 10–20 range; drop set on the final set on Dumbbell Pullover; 1.5 reps on Bayesian Cable Curl
duration = 60 → intended: fill_the_requested_time_with_useful_work → realized: trimmed to fit: accessory_rest_shortened, set_removed; estimated 56.0 min for a 60-minute request
equipment = commercial_gym → intended: availability_only → realized: nothing (no claim made)
history = first session → intended: rotate_shape_and_movements_keep_the_main_lift → realized: nothing (no claim made)</t>
        </is>
      </c>
      <c r="S26" s="2" t="inlineStr">
        <is>
          <t>bored: attempt 0 expression 'new_exercises' realized ['set_method', 'set_method', 'exercises'] no-ops [] → satisfied</t>
        </is>
      </c>
      <c r="T26" s="2" t="inlineStr">
        <is>
          <t>Chest-Supported Machine Row (4 × 6–8) leads as the main lift, then 2 strength lifts and 3 accessories.
18 working sets across 6 exercises, about 56 minutes.
Main work stops about 2 reps short of failure, accessories about 1 rep short of failure.
Advanced difficulty keeps the full exercise range open; today the best fits sit within it without needing the most complex options.
Your profile goal is to build muscle; today's Strength session is built from today's choices.</t>
        </is>
      </c>
      <c r="U26" s="2" t="n"/>
      <c r="V26" s="2" t="n"/>
    </row>
    <row r="27">
      <c r="A27" s="2" t="inlineStr">
        <is>
          <t>E. Bored</t>
        </is>
      </c>
      <c r="B27" s="2" t="inlineStr">
        <is>
          <t>Upper Pull, 60, beginner (same seed)</t>
        </is>
      </c>
      <c r="C27" s="2" t="inlineStr">
        <is>
          <t>wes / 2026-10-28</t>
        </is>
      </c>
      <c r="D27" s="2" t="inlineStr">
        <is>
          <t>bored</t>
        </is>
      </c>
      <c r="E27" s="2" t="inlineStr">
        <is>
          <t>beginner</t>
        </is>
      </c>
      <c r="F27" s="2" t="inlineStr">
        <is>
          <t>Build muscle</t>
        </is>
      </c>
      <c r="G27" s="2" t="n">
        <v>60</v>
      </c>
      <c r="H27" s="2" t="inlineStr">
        <is>
          <t>Upper Pull</t>
        </is>
      </c>
      <c r="I27" s="2" t="inlineStr">
        <is>
          <t>none</t>
        </is>
      </c>
      <c r="J27" s="2" t="inlineStr">
        <is>
          <t>first session</t>
        </is>
      </c>
      <c r="K27" s="2" t="inlineStr">
        <is>
          <t>Upper Pull</t>
        </is>
      </c>
      <c r="L27" s="2" t="inlineStr">
        <is>
          <t>Volume</t>
        </is>
      </c>
      <c r="M27" s="2" t="n">
        <v>53.9</v>
      </c>
      <c r="N27" s="2" t="n">
        <v>18</v>
      </c>
      <c r="O27" s="2" t="inlineStr"/>
      <c r="P27" s="2" t="inlineStr">
        <is>
          <t>Chest-Supported Machine Row: 4 × 8–10  RIR 3  (Stop each set with about 3 reps left in the tank.)  rest 135 s
Lat Pulldown: 4 × 10–12  RIR 2  rest 120 s
Inverted Row: 4 × 10–12  RIR 2  rest 120 s
Dumbbell Pullover: 2 × 15–20  RIR 2  rest 60 s
Machine Preacher Curl: 2 × 15–20  RIR 2  rest 60 s
Bayesian Cable Curl: 2 × 15–20/side  RIR 2  rest 60 s</t>
        </is>
      </c>
      <c r="Q27" s="2" t="inlineStr">
        <is>
          <t>You're bored today, so we're bringing in 3 less-familiar movements. Since you're newer to lifting, the main work keeps at least two reps in reserve and the movements stay approachable, and your muscle goal is why 3 accessory movements sit behind the main lifts.</t>
        </is>
      </c>
      <c r="R27" s="2" t="inlineStr">
        <is>
          <t>state = bored (expression: new_exercises) → intended: refresh_the_experience → realized: Assisted Pull-Up Machine → Inverted Row; EZ-Bar Preacher Curl → Machine Preacher Curl; Barbell Curl → Bayesian Cable Curl
experience = beginner → intended: match_programming_vocabulary_to_level → realized: beginner bands: every lift keeps 2+ reps in reserve, no exercise above 4 sets; beginner-rated, low-complexity movements only; no advanced set methods
goal = build_muscle → intended: hypertrophy_volume_and_accessories → realized: Volume shape (muscle goal weights it up); 3 accessory movements behind the main lift, 6 accessory sets in the 10–20 range
duration = 60 → intended: fill_the_requested_time_with_useful_work → realized: trimmed to fit: accessory_rest_shortened, set_removed; estimated 53.9 min for a 60-minute request
equipment = commercial_gym → intended: availability_only → realized: nothing (no claim made)
history = first session → intended: rotate_shape_and_movements_keep_the_main_lift → realized: nothing (no claim made)</t>
        </is>
      </c>
      <c r="S27" s="2" t="inlineStr">
        <is>
          <t>bored: attempt 0 expression 'new_exercises' realized ['exercises'] no-ops [] → satisfied</t>
        </is>
      </c>
      <c r="T27" s="2" t="inlineStr">
        <is>
          <t>Beginner difficulty applies MOOD's beginner exercise rules: all 6 movements are beginner-rated and technically approachable.
Chest-Supported Machine Row (4 × 8–10) leads as the main lift, then 2 strength lifts and 3 accessories.
18 working sets across 6 exercises, about 54 minutes.
Main work stops about 3 reps short of failure, accessories about 2 reps short of failure.
Your profile goal is to build muscle; today's Strength session is built from today's choices.</t>
        </is>
      </c>
      <c r="U27" s="2" t="n"/>
      <c r="V27" s="2" t="n"/>
    </row>
    <row r="28">
      <c r="A28" s="2" t="inlineStr">
        <is>
          <t>F. Stressed</t>
        </is>
      </c>
      <c r="B28" s="2" t="inlineStr">
        <is>
          <t>Upper Push, 60, intermediate</t>
        </is>
      </c>
      <c r="C28" s="2" t="inlineStr">
        <is>
          <t>wes / 2026-10-14</t>
        </is>
      </c>
      <c r="D28" s="2" t="inlineStr">
        <is>
          <t>stressed</t>
        </is>
      </c>
      <c r="E28" s="2" t="inlineStr">
        <is>
          <t>intermediate</t>
        </is>
      </c>
      <c r="F28" s="2" t="inlineStr">
        <is>
          <t>Build muscle</t>
        </is>
      </c>
      <c r="G28" s="2" t="n">
        <v>60</v>
      </c>
      <c r="H28" s="2" t="inlineStr">
        <is>
          <t>Upper Push</t>
        </is>
      </c>
      <c r="I28" s="2" t="inlineStr">
        <is>
          <t>none</t>
        </is>
      </c>
      <c r="J28" s="2" t="inlineStr">
        <is>
          <t>first session</t>
        </is>
      </c>
      <c r="K28" s="2" t="inlineStr">
        <is>
          <t>Upper Push</t>
        </is>
      </c>
      <c r="L28" s="2" t="inlineStr">
        <is>
          <t>Traditional</t>
        </is>
      </c>
      <c r="M28" s="2" t="n">
        <v>50.7</v>
      </c>
      <c r="N28" s="2" t="n">
        <v>20</v>
      </c>
      <c r="O28" s="2" t="inlineStr"/>
      <c r="P28" s="2" t="inlineStr">
        <is>
          <t>Barbell Bench Press: 4 × 5–7  RIR 2  rest 165 s
Parallel Bar Dip: 4 × 8–10  RIR 2  rest 120 s
Plate-Loaded Incline Press: 4 × 8–10  RIR 2  rest 120 s
SUPERSET A (4 rounds, rest 60 s after each round)
  A1 Dumbbell Fly: 4 × 10–12  RIR 1
  A2 Machine Triceps Extension: 4 × 10–12  RIR 1</t>
        </is>
      </c>
      <c r="Q28" s="2" t="inlineStr">
        <is>
          <t>You're stressed today, so we're keeping the structure simple and predictable, setting up one thing fewer and sticking to familiar movements you can run on autopilot. Your muscle goal is why 2 accessory movements sit behind the main lifts.</t>
        </is>
      </c>
      <c r="R28" s="2" t="inlineStr">
        <is>
          <t>state = stressed (expression: simpler) → intended: reduce_cognitive_load → realized: left out Overhead Cable Triceps Extension; Traditional instead of Compound + Paired Accessories; Smith Machine Incline Press → Plate-Loaded Incline Press; Cable Triceps Pressdown → Machine Triceps Extension
experience = intermediate → intended: match_programming_vocabulary_to_level → realized: intermediate pool: Barbell Bench Press, Parallel Bar Dip
goal = build_muscle → intended: hypertrophy_volume_and_accessories → realized: 2 accessory movements behind the main lift, 8 accessory sets in the 10–20 range
duration = 60 → intended: fill_the_requested_time_with_useful_work → realized: estimated 50.7 min for a 60-minute request
equipment = commercial_gym → intended: availability_only → realized: nothing (no claim made)
history = first session → intended: rotate_shape_and_movements_keep_the_main_lift → realized: nothing (no claim made)</t>
        </is>
      </c>
      <c r="S28" s="2" t="inlineStr">
        <is>
          <t>stressed: attempt 0 expression 'simpler' realized ['slot_removed', 'structure', 'exercises'] no-ops [] → satisfied</t>
        </is>
      </c>
      <c r="T28" s="2" t="inlineStr">
        <is>
          <t>Barbell Bench Press (4 × 5–7) leads as the main lift, then 2 strength lifts and 2 accessories, with part of it run as a superset.
20 working sets across 5 exercises, about 51 minutes.
Main work stops about 2 reps short of failure, accessories about 1 rep short of failure.
Intermediate difficulty: every movement is within the intermediate complexity and skill limits.
Your profile goal is to build muscle; today's Strength session is built from today's choices.</t>
        </is>
      </c>
      <c r="U28" s="2" t="n"/>
      <c r="V28" s="2" t="n"/>
    </row>
    <row r="29">
      <c r="A29" s="2" t="inlineStr">
        <is>
          <t>F. Stressed</t>
        </is>
      </c>
      <c r="B29" s="2" t="inlineStr">
        <is>
          <t>Lower Body: Hinge, 60, intermediate</t>
        </is>
      </c>
      <c r="C29" s="2" t="inlineStr">
        <is>
          <t>wes / 2026-10-28</t>
        </is>
      </c>
      <c r="D29" s="2" t="inlineStr">
        <is>
          <t>stressed</t>
        </is>
      </c>
      <c r="E29" s="2" t="inlineStr">
        <is>
          <t>intermediate</t>
        </is>
      </c>
      <c r="F29" s="2" t="inlineStr">
        <is>
          <t>Build muscle</t>
        </is>
      </c>
      <c r="G29" s="2" t="n">
        <v>60</v>
      </c>
      <c r="H29" s="2" t="inlineStr">
        <is>
          <t>Lower Body: Hinge</t>
        </is>
      </c>
      <c r="I29" s="2" t="inlineStr">
        <is>
          <t>none</t>
        </is>
      </c>
      <c r="J29" s="2" t="inlineStr">
        <is>
          <t>first session</t>
        </is>
      </c>
      <c r="K29" s="2" t="inlineStr">
        <is>
          <t>Lower Body: Hinge</t>
        </is>
      </c>
      <c r="L29" s="2" t="inlineStr">
        <is>
          <t>Traditional</t>
        </is>
      </c>
      <c r="M29" s="2" t="n">
        <v>56.6</v>
      </c>
      <c r="N29" s="2" t="n">
        <v>20</v>
      </c>
      <c r="O29" s="2" t="inlineStr"/>
      <c r="P29" s="2" t="inlineStr">
        <is>
          <t>Dumbbell Romanian Deadlift: 4 × 5–7  RIR 2  rest 165 s
Cable Pull-Through: 4 × 8–10  RIR 2  (Controlled tempo: 3 s lowering, smooth drive, no bounce. Stop each set with about 2 reps left in the tank.)  rest 120 s
Reverse Lunge: 4 × 8–10/side  RIR 2  (Controlled tempo: 3 s lowering, smooth drive, no bounce. Stop each set with about 2 reps left in the tank.)  rest 120 s
Seated Leg Curl: 4 × 10–12  RIR 1  rest 60 s
Weighted Plank: 4 × 30–45 sec  RIR 1  rest 60 s</t>
        </is>
      </c>
      <c r="Q29" s="2" t="inlineStr">
        <is>
          <t>You're stressed today, so we're keeping the structure simple and predictable, keeping the reps controlled and rhythmic and sticking to familiar movements you can run on autopilot. Your muscle goal is why 2 accessory movements sit behind the main lifts.</t>
        </is>
      </c>
      <c r="R29" s="2" t="inlineStr">
        <is>
          <t>state = stressed (expression: controlled) → intended: reduce_cognitive_load → realized: controlled on Cable Pull-Through, Reverse Lunge; Traditional instead of Compound + Paired Accessories; Curtsy Lunge out (complexity / systemic cost); Standing Single-Leg Curl → Seated Leg Curl
experience = intermediate → intended: match_programming_vocabulary_to_level → realized: nothing (no claim made)
goal = build_muscle → intended: hypertrophy_volume_and_accessories → realized: 2 accessory movements behind the main lift, 8 accessory sets in the 10–20 range
duration = 60 → intended: fill_the_requested_time_with_useful_work → realized: estimated 56.6 min for a 60-minute request
equipment = commercial_gym → intended: availability_only → realized: nothing (no claim made)
history = first session → intended: rotate_shape_and_movements_keep_the_main_lift → realized: nothing (no claim made)</t>
        </is>
      </c>
      <c r="S29" s="2" t="inlineStr">
        <is>
          <t>stressed: attempt 0 expression 'controlled' realized ['tempo', 'structure', 'complexity_or_systemic_cap', 'exercises'] no-ops ['state_rir_no_effect'] → satisfied</t>
        </is>
      </c>
      <c r="T29" s="2" t="inlineStr">
        <is>
          <t>Dumbbell Romanian Deadlift (4 × 5–7) leads as the main lift, then 2 strength lifts and 2 accessories.
20 working sets across 5 exercises, about 57 minutes.
Main work stops about 2 reps short of failure, accessories about 1 rep short of failure.
Intermediate difficulty: every movement is within the intermediate complexity and skill limits.
Your profile goal is to build muscle; today's Strength session is built from today's choices.</t>
        </is>
      </c>
      <c r="U29" s="2" t="n"/>
      <c r="V29" s="2" t="n"/>
    </row>
    <row r="30">
      <c r="A30" s="2" t="inlineStr">
        <is>
          <t>F. Stressed</t>
        </is>
      </c>
      <c r="B30" s="2" t="inlineStr">
        <is>
          <t>Upper Pull, 30, intermediate</t>
        </is>
      </c>
      <c r="C30" s="2" t="inlineStr">
        <is>
          <t>wes / 2026-10-29</t>
        </is>
      </c>
      <c r="D30" s="2" t="inlineStr">
        <is>
          <t>stressed</t>
        </is>
      </c>
      <c r="E30" s="2" t="inlineStr">
        <is>
          <t>intermediate</t>
        </is>
      </c>
      <c r="F30" s="2" t="inlineStr">
        <is>
          <t>Build muscle</t>
        </is>
      </c>
      <c r="G30" s="2" t="n">
        <v>30</v>
      </c>
      <c r="H30" s="2" t="inlineStr">
        <is>
          <t>Upper Pull</t>
        </is>
      </c>
      <c r="I30" s="2" t="inlineStr">
        <is>
          <t>none</t>
        </is>
      </c>
      <c r="J30" s="2" t="inlineStr">
        <is>
          <t>first session</t>
        </is>
      </c>
      <c r="K30" s="2" t="inlineStr">
        <is>
          <t>Upper Pull</t>
        </is>
      </c>
      <c r="L30" s="2" t="inlineStr">
        <is>
          <t>Traditional</t>
        </is>
      </c>
      <c r="M30" s="2" t="n">
        <v>25.6</v>
      </c>
      <c r="N30" s="2" t="n">
        <v>9</v>
      </c>
      <c r="O30" s="2" t="inlineStr"/>
      <c r="P30" s="2" t="inlineStr">
        <is>
          <t>Barbell Row: 3 × 5–7  RIR 2  rest 150 s
Pull-Up: 3 × 8–10  RIR 2  (Controlled tempo: 3 s lowering, smooth drive, no bounce. Stop each set with about 2 reps left in the tank.)  rest 105 s
Cable Curl: 3 × 10–12  RIR 1  rest 60 s</t>
        </is>
      </c>
      <c r="Q30" s="2" t="inlineStr">
        <is>
          <t>You're stressed today, so we're keeping the structure simple and predictable, keeping the reps controlled and rhythmic and sticking to familiar movements you can run on autopilot. Your muscle goal is why 1 accessory movement sits behind the main lifts.</t>
        </is>
      </c>
      <c r="R30" s="2" t="inlineStr">
        <is>
          <t>state = stressed (expression: controlled) → intended: reduce_cognitive_load → realized: controlled on Pull-Up; Traditional instead of Compound + Paired Accessories; Zottman Curl → Cable Curl
experience = intermediate → intended: match_programming_vocabulary_to_level → realized: intermediate pool: Barbell Row, Pull-Up
goal = build_muscle → intended: hypertrophy_volume_and_accessories → realized: 1 accessory movement behind the main lift, 3 accessory sets in the 10–20 range
duration = 30 → intended: fill_the_requested_time_with_useful_work → realized: 30-minute session: 3 exercises, 9 working sets, main work kept; estimated 25.6 min for a 30-minute request
equipment = commercial_gym → intended: availability_only → realized: nothing (no claim made)
history = first session → intended: rotate_shape_and_movements_keep_the_main_lift → realized: nothing (no claim made)</t>
        </is>
      </c>
      <c r="S30" s="2" t="inlineStr">
        <is>
          <t>stressed: attempt 0 expression 'controlled' realized ['tempo', 'structure', 'exercises'] no-ops ['state_rir_no_effect'] → satisfied</t>
        </is>
      </c>
      <c r="T30" s="2" t="inlineStr">
        <is>
          <t>30 minutes: 3 exercises and 9 working sets, with the main work kept.
Barbell Row (3 × 5–7) leads as the main lift, then 1 strength lift and 1 accessory.
9 working sets across 3 exercises, about 26 minutes.
Main work stops about 2 reps short of failure, accessories about 1 rep short of failure.
Intermediate difficulty: every movement is within the intermediate complexity and skill limits.</t>
        </is>
      </c>
      <c r="U30" s="2" t="n"/>
      <c r="V30" s="2" t="n"/>
    </row>
    <row r="31">
      <c r="A31" s="2" t="inlineStr">
        <is>
          <t>F. Stressed</t>
        </is>
      </c>
      <c r="B31" s="2" t="inlineStr">
        <is>
          <t>Lower Body: Squat, 60, advanced, build strength</t>
        </is>
      </c>
      <c r="C31" s="2" t="inlineStr">
        <is>
          <t>wes / 2026-10-30</t>
        </is>
      </c>
      <c r="D31" s="2" t="inlineStr">
        <is>
          <t>stressed</t>
        </is>
      </c>
      <c r="E31" s="2" t="inlineStr">
        <is>
          <t>advanced</t>
        </is>
      </c>
      <c r="F31" s="2" t="inlineStr">
        <is>
          <t>Build strength</t>
        </is>
      </c>
      <c r="G31" s="2" t="n">
        <v>60</v>
      </c>
      <c r="H31" s="2" t="inlineStr">
        <is>
          <t>Lower Body: Squat</t>
        </is>
      </c>
      <c r="I31" s="2" t="inlineStr">
        <is>
          <t>none</t>
        </is>
      </c>
      <c r="J31" s="2" t="inlineStr">
        <is>
          <t>first session</t>
        </is>
      </c>
      <c r="K31" s="2" t="inlineStr">
        <is>
          <t>Lower Body: Squat</t>
        </is>
      </c>
      <c r="L31" s="2" t="inlineStr">
        <is>
          <t>Efficient</t>
        </is>
      </c>
      <c r="M31" s="2" t="n">
        <v>46.2</v>
      </c>
      <c r="N31" s="2" t="n">
        <v>13</v>
      </c>
      <c r="O31" s="2" t="inlineStr">
        <is>
          <t>pause</t>
        </is>
      </c>
      <c r="P31" s="2" t="inlineStr">
        <is>
          <t>Barbell Back Squat: 5 × 4–6 · paused reps  RIR 1  (Pause 2 s at the hardest point of every rep, then drive out of it. Stop each set with about 1 rep left in the tank.)  rest 240 s
Leg Press: 4 × 8–10  RIR 2  rest 150 s
Leg Extension: 4 × 10–12  RIR 1  rest 45 s</t>
        </is>
      </c>
      <c r="Q31" s="2" t="inlineStr">
        <is>
          <t>You're stressed today, so we're keeping the structure simple and predictable, setting up one thing fewer and sticking to familiar movements you can run on autopilot. Since you're an advanced lifter, we're keeping paused reps on Barbell Back Squat in the mix, and your strength goal keeps the main lift heavy with full rest.</t>
        </is>
      </c>
      <c r="R31" s="2" t="inlineStr">
        <is>
          <t>state = stressed (expression: simpler) → intended: reduce_cognitive_load → realized: left out Roman Chair / GHD Glute-Ham Raise; Efficient instead of Top Set + Back-off; Sissy Squat → Leg Extension
experience = advanced → intended: match_programming_vocabulary_to_level → realized: paused reps on Barbell Back Squat; Barbell Back Squat runs to RIR 1 (advanced band position); higher-complexity movements kept in: Barbell Back Squat
goal = build_strength → intended: primary_emphasis_heavier_longer_rest → realized: Barbell Back Squat at 4–6 with full 240 s rest; paused reps on Barbell Back Squat
duration = 60 → intended: fill_the_requested_time_with_useful_work → realized: filled toward the requested time: primary_set_added, rest_extended, set_added; estimated 46.2 min for a 60-minute request
equipment = commercial_gym → intended: availability_only → realized: nothing (no claim made)
history = first session → intended: rotate_shape_and_movements_keep_the_main_lift → realized: nothing (no claim made)</t>
        </is>
      </c>
      <c r="S31" s="2" t="inlineStr">
        <is>
          <t>stressed: attempt 0 expression 'simpler' realized ['slot_removed', 'structure', 'exercises'] no-ops [] → satisfied</t>
        </is>
      </c>
      <c r="T31" s="2" t="inlineStr">
        <is>
          <t>Barbell Back Squat (5 × 4–6 · paused reps) leads as the main lift, then 1 strength lift and 1 accessory.
13 working sets across 3 exercises, about 46 minutes.
Main work stops about 1 rep short of failure.
Advanced difficulty keeps the full exercise range open; today the best fits sit within it without needing the most complex options.
Your profile goal is to build strength; today's Strength session is built from today's choices.</t>
        </is>
      </c>
      <c r="U31" s="2" t="n"/>
      <c r="V31" s="2" t="n"/>
    </row>
    <row r="32">
      <c r="A32" s="2" t="inlineStr">
        <is>
          <t>G. Sore</t>
        </is>
      </c>
      <c r="B32" s="2" t="inlineStr">
        <is>
          <t>MOOD's Pick with sore legs, 60, intermediate</t>
        </is>
      </c>
      <c r="C32" s="2" t="inlineStr">
        <is>
          <t>wes / 2026-10-30</t>
        </is>
      </c>
      <c r="D32" s="2" t="inlineStr">
        <is>
          <t>none</t>
        </is>
      </c>
      <c r="E32" s="2" t="inlineStr">
        <is>
          <t>intermediate</t>
        </is>
      </c>
      <c r="F32" s="2" t="inlineStr">
        <is>
          <t>Build muscle</t>
        </is>
      </c>
      <c r="G32" s="2" t="n">
        <v>60</v>
      </c>
      <c r="H32" s="2" t="inlineStr">
        <is>
          <t>MOOD's Pick</t>
        </is>
      </c>
      <c r="I32" s="2" t="inlineStr">
        <is>
          <t>legs</t>
        </is>
      </c>
      <c r="J32" s="2" t="inlineStr">
        <is>
          <t>first session</t>
        </is>
      </c>
      <c r="K32" s="2" t="inlineStr">
        <is>
          <t>Upper Pull</t>
        </is>
      </c>
      <c r="L32" s="2" t="inlineStr">
        <is>
          <t>Volume</t>
        </is>
      </c>
      <c r="M32" s="2" t="n">
        <v>54.2</v>
      </c>
      <c r="N32" s="2" t="n">
        <v>19</v>
      </c>
      <c r="O32" s="2" t="inlineStr">
        <is>
          <t>rest_pause</t>
        </is>
      </c>
      <c r="P32" s="2" t="inlineStr">
        <is>
          <t>Chest-Supported Machine Row: 4 × 6–8  RIR 2  rest 150 s
Lat Pulldown: 4 × 10–12  RIR 2  rest 120 s
Inverted Row: 4 × 10–12  RIR 2  rest 120 s
SUPERSET A (2 rounds, rest 60 s after each round)
  A1 Dumbbell Pullover: 2 × 12–15 · rest-pause on the final set  RIR 1  (On the last set, hit the reps, rest 15 s, then add as many clean reps as you can. Stop each set with about 1 rep left in the tank.)
  A2 EZ-Bar Curl: 2 × 12–15  RIR 1
Bayesian Cable Curl: 3 × 12–15/side  RIR 1  rest 60 s</t>
        </is>
      </c>
      <c r="Q32" s="2" t="inlineStr">
        <is>
          <t>Your legs are sore, so today is an Upper Pull session that leaves them alone. As an intermediate lifter, rest-pause on the final set on Dumbbell Pullover is on the table, and your muscle goal is why 3 accessory movements sit behind the main lifts.</t>
        </is>
      </c>
      <c r="R32" s="2" t="inlineStr">
        <is>
          <t>soreness = ['calves', 'glutes', 'hamstrings', 'quads'] → intended: protect_sore_region → realized: no movement loads the sore calves, glutes, hamstrings, quads directly; no accessory uses it as a secondary mover either
experience = intermediate → intended: match_programming_vocabulary_to_level → realized: rest-pause on the final set on Dumbbell Pullover (intermediate and up)
goal = build_muscle → intended: hypertrophy_volume_and_accessories → realized: Volume shape (muscle goal weights it up); 3 accessory movements behind the main lift, 7 accessory sets in the 10–20 range; rest-pause on the final set on Dumbbell Pullover
duration = 60 → intended: fill_the_requested_time_with_useful_work → realized: trimmed to fit: accessory_rest_shortened, set_removed; estimated 54.2 min for a 60-minute request
equipment = commercial_gym → intended: availability_only → realized: nothing (no claim made)
history = first session → intended: rotate_shape_and_movements_keep_the_main_lift → realized: nothing (no claim made)</t>
        </is>
      </c>
      <c r="S32" s="2" t="inlineStr">
        <is>
          <t>no State</t>
        </is>
      </c>
      <c r="T32" s="2" t="inlineStr">
        <is>
          <t>Today's workout shifts stress away from your sore legs.
Chest-Supported Machine Row (4 × 6–8) leads as the main lift, then 2 strength lifts and 3 accessories, with part of it run as a superset.
19 working sets across 6 exercises, about 54 minutes.
Main work stops about 2 reps short of failure, accessories about 1 rep short of failure.
Intermediate difficulty: every movement is within the intermediate complexity and skill limits.</t>
        </is>
      </c>
      <c r="U32" s="2" t="n"/>
      <c r="V32" s="2" t="n"/>
    </row>
    <row r="33">
      <c r="A33" s="2" t="inlineStr">
        <is>
          <t>G. Sore</t>
        </is>
      </c>
      <c r="B33" s="2" t="inlineStr">
        <is>
          <t>Upper Push with sore shoulders, 60, intermediate</t>
        </is>
      </c>
      <c r="C33" s="2" t="inlineStr">
        <is>
          <t>wes / 2026-10-31</t>
        </is>
      </c>
      <c r="D33" s="2" t="inlineStr">
        <is>
          <t>none</t>
        </is>
      </c>
      <c r="E33" s="2" t="inlineStr">
        <is>
          <t>intermediate</t>
        </is>
      </c>
      <c r="F33" s="2" t="inlineStr">
        <is>
          <t>Build muscle</t>
        </is>
      </c>
      <c r="G33" s="2" t="n">
        <v>60</v>
      </c>
      <c r="H33" s="2" t="inlineStr">
        <is>
          <t>Upper Push</t>
        </is>
      </c>
      <c r="I33" s="2" t="inlineStr">
        <is>
          <t>shoulders</t>
        </is>
      </c>
      <c r="J33" s="2" t="inlineStr">
        <is>
          <t>first session</t>
        </is>
      </c>
      <c r="K33" s="2" t="inlineStr">
        <is>
          <t>CONFLICT</t>
        </is>
      </c>
      <c r="L33" s="2" t="n"/>
      <c r="M33" s="2" t="n"/>
      <c r="N33" s="2" t="n"/>
      <c r="O33" s="2" t="n"/>
      <c r="P33" s="2" t="inlineStr">
        <is>
          <t>sore_target_conflict: Your sore areas block a credible session for this Target today.</t>
        </is>
      </c>
      <c r="Q33" s="2" t="n"/>
      <c r="R33" s="2" t="n"/>
      <c r="S33" s="2" t="n"/>
      <c r="T33" s="2" t="n"/>
      <c r="U33" s="2" t="n"/>
      <c r="V33" s="2" t="n"/>
    </row>
    <row r="34">
      <c r="A34" s="2" t="inlineStr">
        <is>
          <t>G. Sore</t>
        </is>
      </c>
      <c r="B34" s="2" t="inlineStr">
        <is>
          <t>Target chest + triceps with sore shoulders, 60, intermediate</t>
        </is>
      </c>
      <c r="C34" s="2" t="inlineStr">
        <is>
          <t>wes / 2026-11-01</t>
        </is>
      </c>
      <c r="D34" s="2" t="inlineStr">
        <is>
          <t>none</t>
        </is>
      </c>
      <c r="E34" s="2" t="inlineStr">
        <is>
          <t>intermediate</t>
        </is>
      </c>
      <c r="F34" s="2" t="inlineStr">
        <is>
          <t>Build muscle</t>
        </is>
      </c>
      <c r="G34" s="2" t="n">
        <v>60</v>
      </c>
      <c r="H34" s="2" t="inlineStr">
        <is>
          <t>Custom Target: chest + triceps</t>
        </is>
      </c>
      <c r="I34" s="2" t="inlineStr">
        <is>
          <t>shoulders</t>
        </is>
      </c>
      <c r="J34" s="2" t="inlineStr">
        <is>
          <t>first session</t>
        </is>
      </c>
      <c r="K34" s="2" t="inlineStr">
        <is>
          <t>Custom Target</t>
        </is>
      </c>
      <c r="L34" s="2" t="inlineStr">
        <is>
          <t>Compound + Paired Accessories</t>
        </is>
      </c>
      <c r="M34" s="2" t="n">
        <v>51.9</v>
      </c>
      <c r="N34" s="2" t="n">
        <v>20</v>
      </c>
      <c r="O34" s="2" t="inlineStr">
        <is>
          <t>drop_set</t>
        </is>
      </c>
      <c r="P34" s="2" t="inlineStr">
        <is>
          <t>Dumbbell Bench Press: 4 × 8–10  RIR 2  rest 120 s
Smith Machine Incline Press: 4 × 8–10  RIR 2  rest 120 s
SUPERSET A (4 rounds, rest 60 s after each round)
  A1 Cable Fly: 4 × 12–15 · drop set on the final set  RIR 1  (On the last set, hit the reps, drop the load about 25% and go again to the same reps-in-reserve. Stop each set with about 1 rep left in the tank.)
  A2 Single-Arm Cable Triceps Extension: 4 × 12–15/side  RIR 1
Assisted Dip (Triceps Bias): 4 × 8–10  RIR 2  rest 120 s</t>
        </is>
      </c>
      <c r="Q34" s="2" t="inlineStr">
        <is>
          <t>Your shoulders are sore, so we kept your session and chose movements that keep that area out of the heavy lifting. As an intermediate lifter, drop set on the final set on Cable Fly is on the table, and your muscle goal keeps 2 accessory movements working at moderate reps. Both chest and triceps get direct work, in that order.</t>
        </is>
      </c>
      <c r="R34" s="2" t="inlineStr">
        <is>
          <t>soreness = ['front_delts', 'rear_delts', 'shoulders', 'side_delts'] → intended: protect_sore_region → realized: no movement loads the sore front_delts, rear_delts, shoulders, side_delts directly; 3 movements still use it as a secondary mover (Dumbbell Bench Press, Smith Machine Incline Press, Assisted Dip (Triceps Bias)); everything else avoids it
experience = intermediate → intended: match_programming_vocabulary_to_level → realized: drop set on the final set on Cable Fly (intermediate and up)
goal = build_muscle → intended: hypertrophy_volume_and_accessories → realized: Compound + Paired Accessories shape (muscle goal weights it up); 2 accessory movements, 8 accessory sets in the 10–20 range; drop set on the final set on Cable Fly
target = ['chest', 'triceps'] → intended: cover_every_target_muscle_directly → realized: chest: Dumbbell Bench Press, Smith Machine Incline Press, Cable Fly; triceps: Assisted Dip (Triceps Bias), Single-Arm Cable Triceps Extension
duration = 60 → intended: fill_the_requested_time_with_useful_work → realized: estimated 51.9 min for a 60-minute request
equipment = commercial_gym → intended: availability_only → realized: nothing (no claim made)
history = first session → intended: rotate_shape_and_movements_keep_the_main_lift → realized: nothing (no claim made)</t>
        </is>
      </c>
      <c r="S34" s="2" t="inlineStr">
        <is>
          <t>no State</t>
        </is>
      </c>
      <c r="T34" s="2" t="inlineStr">
        <is>
          <t>Today's workout shifts stress away from your sore shoulders.
Chest gets 3 movements while Triceps gets 2.
20 working sets across 5 exercises, about 52 minutes.
Main work stops about 2 reps short of failure.
Intermediate difficulty: every movement is within the intermediate complexity and skill limits.</t>
        </is>
      </c>
      <c r="U34" s="2" t="n"/>
      <c r="V34" s="2" t="n"/>
    </row>
    <row r="35">
      <c r="A35" s="2" t="inlineStr">
        <is>
          <t>G. Sore</t>
        </is>
      </c>
      <c r="B35" s="2" t="inlineStr">
        <is>
          <t>Target back + biceps with sore lower back, 60, intermediate</t>
        </is>
      </c>
      <c r="C35" s="2" t="inlineStr">
        <is>
          <t>wes / 2026-11-02</t>
        </is>
      </c>
      <c r="D35" s="2" t="inlineStr">
        <is>
          <t>none</t>
        </is>
      </c>
      <c r="E35" s="2" t="inlineStr">
        <is>
          <t>intermediate</t>
        </is>
      </c>
      <c r="F35" s="2" t="inlineStr">
        <is>
          <t>Build muscle</t>
        </is>
      </c>
      <c r="G35" s="2" t="n">
        <v>60</v>
      </c>
      <c r="H35" s="2" t="inlineStr">
        <is>
          <t>Custom Target: back + biceps</t>
        </is>
      </c>
      <c r="I35" s="2" t="inlineStr">
        <is>
          <t>lower_back</t>
        </is>
      </c>
      <c r="J35" s="2" t="inlineStr">
        <is>
          <t>first session</t>
        </is>
      </c>
      <c r="K35" s="2" t="inlineStr">
        <is>
          <t>Upper Pull</t>
        </is>
      </c>
      <c r="L35" s="2" t="inlineStr">
        <is>
          <t>Compound + Paired Accessories</t>
        </is>
      </c>
      <c r="M35" s="2" t="n">
        <v>54.5</v>
      </c>
      <c r="N35" s="2" t="n">
        <v>19</v>
      </c>
      <c r="O35" s="2" t="inlineStr"/>
      <c r="P35" s="2" t="inlineStr">
        <is>
          <t>Chest-Supported Machine Row: 4 × 5–7  RIR 2  rest 180 s
Pull-Up: 4 × 8–10  RIR 2  rest 120 s
Single-Arm Cable Row: 4 × 8–10/side  RIR 2  rest 120 s
SUPERSET A (2 rounds, rest 60 s after each round)
  A1 Dumbbell Pullover: 2 × 12–15  RIR 1
  A2 EZ-Bar Curl: 2 × 12–15  RIR 1
Machine Preacher Curl: 3 × 12–15  RIR 1  rest 60 s</t>
        </is>
      </c>
      <c r="Q35" s="2" t="inlineStr">
        <is>
          <t>Your lower back is sore, so we kept your session and chose movements that keep that area out of the heavy lifting. Your muscle goal is why 3 accessory movements sit behind the main lifts. Both back and biceps get direct work, in that order.</t>
        </is>
      </c>
      <c r="R35" s="2" t="inlineStr">
        <is>
          <t>soreness = ['spinal_erectors'] → intended: protect_sore_region → realized: no movement loads the sore spinal_erectors directly; no accessory uses it as a secondary mover either
experience = intermediate → intended: match_programming_vocabulary_to_level → realized: intermediate pool: Pull-Up
goal = build_muscle → intended: hypertrophy_volume_and_accessories → realized: Compound + Paired Accessories shape (muscle goal weights it up); 3 accessory movements behind the main lift, 7 accessory sets in the 10–20 range
target = ['back', 'biceps'] → intended: cover_every_target_muscle_directly → realized: back: Chest-Supported Machine Row, Pull-Up, Single-Arm Cable Row, Dumbbell Pullover; biceps: EZ-Bar Curl, Machine Preacher Curl
duration = 60 → intended: fill_the_requested_time_with_useful_work → realized: trimmed to fit: set_removed; estimated 54.5 min for a 60-minute request
equipment = commercial_gym → intended: availability_only → realized: nothing (no claim made)
history = first session → intended: rotate_shape_and_movements_keep_the_main_lift → realized: nothing (no claim made)</t>
        </is>
      </c>
      <c r="S35" s="2" t="inlineStr">
        <is>
          <t>no State</t>
        </is>
      </c>
      <c r="T35" s="2" t="inlineStr">
        <is>
          <t>Today's workout shifts stress away from your sore lower back.
Back + Biceps run as an Upper Pull session, so both get direct work.
Chest-Supported Machine Row (4 × 5–7) leads as the main lift, then 2 strength lifts and 3 accessories, with part of it run as a superset.
19 working sets across 6 exercises, about 54 minutes.
Main work stops about 2 reps short of failure, accessories about 1 rep short of failure.</t>
        </is>
      </c>
      <c r="U35" s="2" t="n"/>
      <c r="V35" s="2" t="n"/>
    </row>
    <row r="36">
      <c r="A36" s="2" t="inlineStr">
        <is>
          <t>G. Sore</t>
        </is>
      </c>
      <c r="B36" s="2" t="inlineStr">
        <is>
          <t>Amped with sore chest, Upper Push, 60</t>
        </is>
      </c>
      <c r="C36" s="2" t="inlineStr">
        <is>
          <t>wes / 2026-11-03</t>
        </is>
      </c>
      <c r="D36" s="2" t="inlineStr">
        <is>
          <t>amped</t>
        </is>
      </c>
      <c r="E36" s="2" t="inlineStr">
        <is>
          <t>intermediate</t>
        </is>
      </c>
      <c r="F36" s="2" t="inlineStr">
        <is>
          <t>Build muscle</t>
        </is>
      </c>
      <c r="G36" s="2" t="n">
        <v>60</v>
      </c>
      <c r="H36" s="2" t="inlineStr">
        <is>
          <t>Upper Push</t>
        </is>
      </c>
      <c r="I36" s="2" t="inlineStr">
        <is>
          <t>chest</t>
        </is>
      </c>
      <c r="J36" s="2" t="inlineStr">
        <is>
          <t>first session</t>
        </is>
      </c>
      <c r="K36" s="2" t="inlineStr">
        <is>
          <t>CONFLICT</t>
        </is>
      </c>
      <c r="L36" s="2" t="n"/>
      <c r="M36" s="2" t="n"/>
      <c r="N36" s="2" t="n"/>
      <c r="O36" s="2" t="n"/>
      <c r="P36" s="2" t="inlineStr">
        <is>
          <t>sore_target_conflict: Your sore areas block a credible session for this Target today.</t>
        </is>
      </c>
      <c r="Q36" s="2" t="n"/>
      <c r="R36" s="2" t="n"/>
      <c r="S36" s="2" t="n"/>
      <c r="T36" s="2" t="n"/>
      <c r="U36" s="2" t="n"/>
      <c r="V36" s="2" t="n"/>
    </row>
    <row r="37">
      <c r="A37" s="2" t="inlineStr">
        <is>
          <t>H. Multi-State</t>
        </is>
      </c>
      <c r="B37" s="2" t="inlineStr">
        <is>
          <t>Amped + Stressed, Upper Push, 60</t>
        </is>
      </c>
      <c r="C37" s="2" t="inlineStr">
        <is>
          <t>wes / 2026-10-14</t>
        </is>
      </c>
      <c r="D37" s="2" t="inlineStr">
        <is>
          <t>amped, stressed</t>
        </is>
      </c>
      <c r="E37" s="2" t="inlineStr">
        <is>
          <t>intermediate</t>
        </is>
      </c>
      <c r="F37" s="2" t="inlineStr">
        <is>
          <t>Build muscle</t>
        </is>
      </c>
      <c r="G37" s="2" t="n">
        <v>60</v>
      </c>
      <c r="H37" s="2" t="inlineStr">
        <is>
          <t>Upper Push</t>
        </is>
      </c>
      <c r="I37" s="2" t="inlineStr">
        <is>
          <t>none</t>
        </is>
      </c>
      <c r="J37" s="2" t="inlineStr">
        <is>
          <t>first session</t>
        </is>
      </c>
      <c r="K37" s="2" t="inlineStr">
        <is>
          <t>Upper Push</t>
        </is>
      </c>
      <c r="L37" s="2" t="inlineStr">
        <is>
          <t>Compound + Paired Accessories</t>
        </is>
      </c>
      <c r="M37" s="2" t="n">
        <v>55.9</v>
      </c>
      <c r="N37" s="2" t="n">
        <v>21</v>
      </c>
      <c r="O37" s="2" t="inlineStr"/>
      <c r="P37" s="2" t="inlineStr">
        <is>
          <t>Barbell Bench Press: 5 × 5–7  RIR 2  rest 180 s
Parallel Bar Dip: 4 × 8–10  RIR 2  rest 120 s
Plate-Loaded Incline Press: 4 × 8–10  RIR 2  rest 120 s
SUPERSET A (4 rounds, rest 60 s after each round)
  A1 Dumbbell Fly: 4 × 12–15  RIR 1
  A2 Machine Triceps Extension: 4 × 12–15  RIR 1</t>
        </is>
      </c>
      <c r="Q37" s="2" t="inlineStr">
        <is>
          <t>You're amped but stressed, so we're adding a working set to Barbell Bench Press and setting up one thing fewer. Your muscle goal is why 2 accessory movements sit behind the main lifts.</t>
        </is>
      </c>
      <c r="R37" s="2" t="inlineStr">
        <is>
          <t>state = amped (expression: extra_set_paired) → intended: use_readiness_productively → realized: Barbell Bench Press 4→5 sets
state = stressed (expression: simpler) → intended: reduce_cognitive_load → realized: left out Overhead Cable Triceps Extension; Smith Machine Incline Press → Plate-Loaded Incline Press; Cable Triceps Pressdown → Machine Triceps Extension
experience = intermediate → intended: match_programming_vocabulary_to_level → realized: intermediate pool: Barbell Bench Press, Parallel Bar Dip
goal = build_muscle → intended: hypertrophy_volume_and_accessories → realized: Compound + Paired Accessories shape (muscle goal weights it up); 2 accessory movements behind the main lift, 8 accessory sets in the 10–20 range
duration = 60 → intended: fill_the_requested_time_with_useful_work → realized: estimated 55.9 min for a 60-minute request
equipment = commercial_gym → intended: availability_only → realized: nothing (no claim made)
history = first session → intended: rotate_shape_and_movements_keep_the_main_lift → realized: nothing (no claim made)</t>
        </is>
      </c>
      <c r="S37" s="2" t="inlineStr">
        <is>
          <t>amped: attempt 0 expression 'extra_set_paired' realized ['volume'] no-ops [] → satisfied
stressed: attempt 0 expression 'simpler' realized ['slot_removed', 'exercises'] no-ops [] → satisfied</t>
        </is>
      </c>
      <c r="T37" s="2" t="inlineStr">
        <is>
          <t>Barbell Bench Press (5 × 5–7) leads as the main lift, then 2 strength lifts and 2 accessories, with part of it run as a superset.
21 working sets across 5 exercises, about 56 minutes.
Main work stops about 2 reps short of failure, accessories about 1 rep short of failure.
Intermediate difficulty: every movement is within the intermediate complexity and skill limits.
Your profile goal is to build muscle; today's Strength session is built from today's choices.</t>
        </is>
      </c>
      <c r="U37" s="2" t="n"/>
      <c r="V37" s="2" t="n"/>
    </row>
    <row r="38">
      <c r="A38" s="2" t="inlineStr">
        <is>
          <t>H. Multi-State</t>
        </is>
      </c>
      <c r="B38" s="2" t="inlineStr">
        <is>
          <t>Low Energy + Amped, Lower Body: Squat, 60</t>
        </is>
      </c>
      <c r="C38" s="2" t="inlineStr">
        <is>
          <t>wes / 2026-11-01</t>
        </is>
      </c>
      <c r="D38" s="2" t="inlineStr">
        <is>
          <t>low_energy, amped</t>
        </is>
      </c>
      <c r="E38" s="2" t="inlineStr">
        <is>
          <t>intermediate</t>
        </is>
      </c>
      <c r="F38" s="2" t="inlineStr">
        <is>
          <t>Build muscle</t>
        </is>
      </c>
      <c r="G38" s="2" t="n">
        <v>60</v>
      </c>
      <c r="H38" s="2" t="inlineStr">
        <is>
          <t>Lower Body: Squat</t>
        </is>
      </c>
      <c r="I38" s="2" t="inlineStr">
        <is>
          <t>none</t>
        </is>
      </c>
      <c r="J38" s="2" t="inlineStr">
        <is>
          <t>first session</t>
        </is>
      </c>
      <c r="K38" s="2" t="inlineStr">
        <is>
          <t>Lower Body: Squat</t>
        </is>
      </c>
      <c r="L38" s="2" t="inlineStr">
        <is>
          <t>Heavy Primary</t>
        </is>
      </c>
      <c r="M38" s="2" t="n">
        <v>51.1</v>
      </c>
      <c r="N38" s="2" t="n">
        <v>17</v>
      </c>
      <c r="O38" s="2" t="inlineStr"/>
      <c r="P38" s="2" t="inlineStr">
        <is>
          <t>Barbell Back Squat: 5 × 4–6  RIR 1  rest 225 s
Leg Press: 4 × 8–10  RIR 2  rest 135 s
Leg Extension: 4 × 10–12  RIR 2  rest 60 s
Lying Leg Curl: 4 × 10–12  RIR 2  rest 60 s</t>
        </is>
      </c>
      <c r="Q38" s="2" t="inlineStr">
        <is>
          <t>You're amped but running on less energy than usual, so we're keeping you further from failure on Leg Extension and Lying Leg Curl, taking Barbell Back Squat a rep closer to failure and leaving out the higher-cost accessories. Your muscle goal is why 2 accessory movements sit behind the main lifts.</t>
        </is>
      </c>
      <c r="R38" s="2" t="inlineStr">
        <is>
          <t>state = low_energy (expression: cost_down) → intended: reduce_training_cost → realized: Leg Extension RIR 1→2; Lying Leg Curl RIR 1→2; Sissy Squat out (complexity / systemic cost); Roman Chair / GHD Glute-Ham Raise out (complexity / systemic cost)
state = amped (expression: top_set) → intended: use_readiness_productively → realized: Barbell Back Squat RIR 2→1
experience = intermediate → intended: match_programming_vocabulary_to_level → realized: intermediate pool: Barbell Back Squat
goal = build_muscle → intended: hypertrophy_volume_and_accessories → realized: 2 accessory movements behind the main lift, 8 accessory sets in the 10–20 range
duration = 60 → intended: fill_the_requested_time_with_useful_work → realized: filled toward the requested time: set_added; estimated 51.1 min for a 60-minute request
equipment = commercial_gym → intended: availability_only → realized: nothing (no claim made)
history = first session → intended: rotate_shape_and_movements_keep_the_main_lift → realized: nothing (no claim made)</t>
        </is>
      </c>
      <c r="S38" s="2" t="inlineStr">
        <is>
          <t>low_energy: attempt 0 expression 'cost_down' realized ['rir', 'complexity_or_systemic_cap'] no-ops [] → satisfied
amped: attempt 0 expression 'extra_set_paired' realized [] no-ops [] → NOT satisfied
amped: fallback extra_set_paired → top_set
low_energy: attempt 1 expression 'cost_down' realized ['rir', 'complexity_or_systemic_cap'] no-ops [] → satisfied
amped: attempt 1 expression 'top_set' realized ['rir'] no-ops [] → satisfied</t>
        </is>
      </c>
      <c r="T38" s="2" t="inlineStr">
        <is>
          <t>Barbell Back Squat (5 × 4–6) leads as the main lift, then 1 strength lift and 2 accessories.
17 working sets across 4 exercises, about 51 minutes.
Main work stops about 1 rep short of failure, accessories about 2 reps short of failure.
Intermediate difficulty: every movement is within the intermediate complexity and skill limits.
Your profile goal is to build muscle; today's Strength session is built from today's choices.</t>
        </is>
      </c>
      <c r="U38" s="2" t="n"/>
      <c r="V38" s="2" t="n"/>
    </row>
    <row r="39">
      <c r="A39" s="2" t="inlineStr">
        <is>
          <t>H. Multi-State</t>
        </is>
      </c>
      <c r="B39" s="2" t="inlineStr">
        <is>
          <t>Bored + Stressed, Upper Pull, 60</t>
        </is>
      </c>
      <c r="C39" s="2" t="inlineStr">
        <is>
          <t>wes / 2026-11-02</t>
        </is>
      </c>
      <c r="D39" s="2" t="inlineStr">
        <is>
          <t>bored, stressed</t>
        </is>
      </c>
      <c r="E39" s="2" t="inlineStr">
        <is>
          <t>intermediate</t>
        </is>
      </c>
      <c r="F39" s="2" t="inlineStr">
        <is>
          <t>Build muscle</t>
        </is>
      </c>
      <c r="G39" s="2" t="n">
        <v>60</v>
      </c>
      <c r="H39" s="2" t="inlineStr">
        <is>
          <t>Upper Pull</t>
        </is>
      </c>
      <c r="I39" s="2" t="inlineStr">
        <is>
          <t>none</t>
        </is>
      </c>
      <c r="J39" s="2" t="inlineStr">
        <is>
          <t>first session</t>
        </is>
      </c>
      <c r="K39" s="2" t="inlineStr">
        <is>
          <t>Upper Pull</t>
        </is>
      </c>
      <c r="L39" s="2" t="inlineStr">
        <is>
          <t>Traditional</t>
        </is>
      </c>
      <c r="M39" s="2" t="n">
        <v>58.7</v>
      </c>
      <c r="N39" s="2" t="n">
        <v>21</v>
      </c>
      <c r="O39" s="2" t="inlineStr"/>
      <c r="P39" s="2" t="inlineStr">
        <is>
          <t>Chest-Supported Machine Row: 4 × 5–7  RIR 2  rest 165 s
Pull-Up: 4 × 8–10  RIR 2  (Controlled tempo: 3 s lowering, smooth drive, no bounce. Stop each set with about 2 reps left in the tank.)  rest 120 s
Meadows Row: 4 × 8–10/side  RIR 2  (Controlled tempo: 3 s lowering, smooth drive, no bounce. Stop each set with about 2 reps left in the tank.)  rest 120 s
Dumbbell Pullover: 3 × 10–12  RIR 1  rest 60 s
Bayesian Cable Curl: 3 × 10–12/side  RIR 1  rest 60 s
Machine Preacher Curl: 3 × 10–12  RIR 1  rest 60 s</t>
        </is>
      </c>
      <c r="Q39" s="2" t="inlineStr">
        <is>
          <t>You're bored and stressed, so we're bringing in 2 less-familiar movements and keeping the structure simple and predictable. Your muscle goal is why 3 accessory movements sit behind the main lifts.</t>
        </is>
      </c>
      <c r="R39" s="2" t="inlineStr">
        <is>
          <t>state = bored (expression: new_exercises) → intended: refresh_the_experience → realized: Single-Arm Cable Row → Meadows Row; EZ-Bar Curl → Bayesian Cable Curl
state = stressed (expression: controlled) → intended: reduce_cognitive_load → realized: controlled on Pull-Up, Meadows Row; Traditional instead of Compound + Paired Accessories; Single-Arm Cable Row → Meadows Row; EZ-Bar Curl → Bayesian Cable Curl
experience = intermediate → intended: match_programming_vocabulary_to_level → realized: intermediate pool: Pull-Up, Meadows Row
goal = build_muscle → intended: hypertrophy_volume_and_accessories → realized: 3 accessory movements behind the main lift, 9 accessory sets in the 10–20 range
duration = 60 → intended: fill_the_requested_time_with_useful_work → realized: trimmed to fit: accessory_rest_shortened, set_removed; estimated 58.7 min for a 60-minute request
equipment = commercial_gym → intended: availability_only → realized: nothing (no claim made)
history = first session → intended: rotate_shape_and_movements_keep_the_main_lift → realized: nothing (no claim made)</t>
        </is>
      </c>
      <c r="S39" s="2" t="inlineStr">
        <is>
          <t>bored: attempt 0 expression 'fresh_finish' realized [] no-ops [] → NOT satisfied
stressed: attempt 0 expression 'controlled' realized ['tempo'] no-ops ['state_rir_no_effect'] → satisfied
bored: fallback fresh_finish → new_exercises
bored: attempt 1 expression 'new_exercises' realized ['exercises'] no-ops [] → satisfied
stressed: attempt 1 expression 'controlled' realized ['tempo', 'structure', 'exercises'] no-ops ['state_rir_no_effect'] → satisfied</t>
        </is>
      </c>
      <c r="T39" s="2" t="inlineStr">
        <is>
          <t>Chest-Supported Machine Row (4 × 5–7) leads as the main lift, then 2 strength lifts and 3 accessories.
21 working sets across 6 exercises, about 59 minutes.
Main work stops about 2 reps short of failure, accessories about 1 rep short of failure.
Intermediate difficulty: every movement is within the intermediate complexity and skill limits.
Your profile goal is to build muscle; today's Strength session is built from today's choices.</t>
        </is>
      </c>
      <c r="U39" s="2" t="n"/>
      <c r="V39" s="2" t="n"/>
    </row>
    <row r="40">
      <c r="A40" s="2" t="inlineStr">
        <is>
          <t>H. Multi-State</t>
        </is>
      </c>
      <c r="B40" s="2" t="inlineStr">
        <is>
          <t>Irritated + Low Energy, Glutes + Legs, 30</t>
        </is>
      </c>
      <c r="C40" s="2" t="inlineStr">
        <is>
          <t>wes / 2026-11-03</t>
        </is>
      </c>
      <c r="D40" s="2" t="inlineStr">
        <is>
          <t>irritated, low_energy</t>
        </is>
      </c>
      <c r="E40" s="2" t="inlineStr">
        <is>
          <t>intermediate</t>
        </is>
      </c>
      <c r="F40" s="2" t="inlineStr">
        <is>
          <t>Build muscle</t>
        </is>
      </c>
      <c r="G40" s="2" t="n">
        <v>30</v>
      </c>
      <c r="H40" s="2" t="inlineStr">
        <is>
          <t>Glutes + Legs</t>
        </is>
      </c>
      <c r="I40" s="2" t="inlineStr">
        <is>
          <t>none</t>
        </is>
      </c>
      <c r="J40" s="2" t="inlineStr">
        <is>
          <t>first session</t>
        </is>
      </c>
      <c r="K40" s="2" t="inlineStr">
        <is>
          <t>Glutes + Legs</t>
        </is>
      </c>
      <c r="L40" s="2" t="inlineStr">
        <is>
          <t>Efficient</t>
        </is>
      </c>
      <c r="M40" s="2" t="n">
        <v>27.6</v>
      </c>
      <c r="N40" s="2" t="n">
        <v>9</v>
      </c>
      <c r="O40" s="2" t="inlineStr"/>
      <c r="P40" s="2" t="inlineStr">
        <is>
          <t>Barbell Hip Thrust: 3 × 5–7  RIR 3  (Move the bar with intent: controlled down, drive up as fast as it will go. Stop each set with about 3 reps left in the tank.)  rest 150 s
Trap-Bar Deadlift: 3 × 10–12  RIR 3  (Stop each set with about 3 reps left in the tank.)  rest 105 s
Machine Glute Kickback: 3 × 12–15/side  RIR 1  rest 45 s</t>
        </is>
      </c>
      <c r="Q40" s="2" t="inlineStr">
        <is>
          <t>You're irritated but low on energy, so we're loading the main lifts heavier, keeping you further from failure on Barbell Hip Thrust and Trap-Bar Deadlift and driving every rep of Barbell Hip Thrust with intent. Your muscle goal is why 1 accessory movement sits behind the main lifts.</t>
        </is>
      </c>
      <c r="R40" s="2" t="inlineStr">
        <is>
          <t>state = irritated (expression: heavy_primary) → intended: direct_physical_cathartic_work → realized: Barbell Hip Thrust 5–7→4–6; Barbell Hip Thrust rest 120→150 s; Trap-Bar Deadlift rest 90→105 s; explosive intent on Barbell Hip Thrust
state = low_energy (expression: moderate_load) → intended: reduce_training_cost → realized: Barbell Hip Thrust 4–6→5–7; Barbell Hip Thrust RIR 2→3; Trap-Bar Deadlift RIR 2→3
experience = intermediate → intended: match_programming_vocabulary_to_level → realized: intermediate pool: Trap-Bar Deadlift
goal = build_muscle → intended: hypertrophy_volume_and_accessories → realized: 1 accessory movement behind the main lift, 3 accessory sets in the 10–20 range
duration = 30 → intended: fill_the_requested_time_with_useful_work → realized: 30-minute session: 3 exercises, 9 working sets, main work kept; estimated 27.6 min for a 30-minute request
equipment = commercial_gym → intended: availability_only → realized: nothing (no claim made)
history = first session → intended: rotate_shape_and_movements_keep_the_main_lift → realized: nothing (no claim made)</t>
        </is>
      </c>
      <c r="S40" s="2" t="inlineStr">
        <is>
          <t>irritated: attempt 0 expression 'direct_simple' realized [] no-ops ['state_reps_no_effect'] → NOT satisfied
low_energy: attempt 0 expression 'moderate_load' realized ['rir'] no-ops ['state_reps_no_effect'] → satisfied
irritated: fallback direct_simple → heavy_primary
irritated: attempt 1 expression 'heavy_primary' realized ['reps', 'rest', 'tempo'] no-ops [] → satisfied
low_energy: attempt 1 expression 'moderate_load' realized ['reps', 'rir'] no-ops [] → satisfied</t>
        </is>
      </c>
      <c r="T40" s="2" t="inlineStr">
        <is>
          <t>30 minutes: 3 exercises and 9 working sets, with the main work kept.
Barbell Hip Thrust (3 × 5–7) leads as the main lift, then 1 strength lift and 1 accessory.
9 working sets across 3 exercises, about 28 minutes.
Main work stops about 3 reps short of failure, accessories about 1 rep short of failure.
Intermediate difficulty: every movement is within the intermediate complexity and skill limits.</t>
        </is>
      </c>
      <c r="U40" s="2" t="n"/>
      <c r="V40" s="2" t="n"/>
    </row>
    <row r="41">
      <c r="A41" s="2" t="inlineStr">
        <is>
          <t>H. Multi-State</t>
        </is>
      </c>
      <c r="B41" s="2" t="inlineStr">
        <is>
          <t>Bored + Low Energy, Upper Push, 60, advanced</t>
        </is>
      </c>
      <c r="C41" s="2" t="inlineStr">
        <is>
          <t>wes / 2026-11-04</t>
        </is>
      </c>
      <c r="D41" s="2" t="inlineStr">
        <is>
          <t>bored, low_energy</t>
        </is>
      </c>
      <c r="E41" s="2" t="inlineStr">
        <is>
          <t>advanced</t>
        </is>
      </c>
      <c r="F41" s="2" t="inlineStr">
        <is>
          <t>Build muscle</t>
        </is>
      </c>
      <c r="G41" s="2" t="n">
        <v>60</v>
      </c>
      <c r="H41" s="2" t="inlineStr">
        <is>
          <t>Upper Push</t>
        </is>
      </c>
      <c r="I41" s="2" t="inlineStr">
        <is>
          <t>none</t>
        </is>
      </c>
      <c r="J41" s="2" t="inlineStr">
        <is>
          <t>first session</t>
        </is>
      </c>
      <c r="K41" s="2" t="inlineStr">
        <is>
          <t>Upper Push</t>
        </is>
      </c>
      <c r="L41" s="2" t="inlineStr">
        <is>
          <t>Compound + Paired Accessories</t>
        </is>
      </c>
      <c r="M41" s="2" t="n">
        <v>58.5</v>
      </c>
      <c r="N41" s="2" t="n">
        <v>20</v>
      </c>
      <c r="O41" s="2" t="inlineStr">
        <is>
          <t>pause, slow_eccentric</t>
        </is>
      </c>
      <c r="P41" s="2" t="inlineStr">
        <is>
          <t>Dumbbell Bench Press: 4 × 5–7 · paused reps  RIR 1  (Pause 2 s at the hardest point of every rep, then drive out of it. Stop each set with about 1 rep left in the tank.)  rest 180 s
Parallel Bar Dip: 4 × 8–10 · 3 s eccentric  RIR 2  (Take 3 s to lower every rep, then lift at normal speed. Stop each set with about 2 reps left in the tank.)  rest 120 s
Smith Machine Incline Press: 4 × 8–10  RIR 2  rest 120 s
Pec Deck: 4 × 12–15  RIR 2  rest 60 s
Cross-Body Cable Triceps Extension: 4 × 12–15/side  RIR 2  rest 60 s</t>
        </is>
      </c>
      <c r="Q41" s="2" t="inlineStr">
        <is>
          <t>You're bored and low on energy, so we're changing the feel with paused reps on the Dumbbell Bench Press and keeping you further from failure on Pec Deck and Cross-Body Cable Triceps Extension. Since you're an advanced lifter, we're keeping 3 s eccentric on Parallel Bar Dip in the mix, and your muscle goal is why 2 accessory movements sit behind the main lifts.</t>
        </is>
      </c>
      <c r="R41" s="2" t="inlineStr">
        <is>
          <t>state = bored (expression: new_structure) → intended: refresh_the_experience → realized: paused reps on Dumbbell Bench Press
state = low_energy (expression: simplify) → intended: reduce_training_cost → realized: left out EZ-Bar Skull Crusher; Pec Deck RIR 1→2; Cross-Body Cable Triceps Extension RIR 1→2; 3 s eccentric on Parallel Bar Dip
experience = advanced → intended: match_programming_vocabulary_to_level → realized: paused reps on Dumbbell Bench Press; 3 s eccentric on Parallel Bar Dip; Dumbbell Bench Press runs to RIR 1 (advanced band position); higher-complexity movements kept in: Parallel Bar Dip
goal = build_muscle → intended: hypertrophy_volume_and_accessories → realized: Compound + Paired Accessories shape (muscle goal weights it up); 2 accessory movements behind the main lift, 8 accessory sets in the 10–20 range; 3 s eccentric on Parallel Bar Dip
duration = 60 → intended: fill_the_requested_time_with_useful_work → realized: estimated 58.5 min for a 60-minute request
equipment = commercial_gym → intended: availability_only → realized: nothing (no claim made)
history = first session → intended: rotate_shape_and_movements_keep_the_main_lift → realized: nothing (no claim made)</t>
        </is>
      </c>
      <c r="S41" s="2" t="inlineStr">
        <is>
          <t>bored: attempt 0 expression 'new_structure' realized ['set_method'] no-ops [] → satisfied
low_energy: attempt 0 expression 'simplify' realized ['slot_removed', 'rir', 'set_method'] no-ops [] → satisfied</t>
        </is>
      </c>
      <c r="T41" s="2" t="inlineStr">
        <is>
          <t>Dumbbell Bench Press (4 × 5–7 · paused reps) leads as the main lift, then 2 strength lifts and 2 accessories.
20 working sets across 5 exercises, about 58 minutes.
Main work stops about 1 rep short of failure, accessories about 2 reps short of failure.
Advanced difficulty keeps the full exercise range open; today the best fits sit within it without needing the most complex options.
Your profile goal is to build muscle; today's Strength session is built from today's choices.</t>
        </is>
      </c>
      <c r="U41" s="2" t="n"/>
      <c r="V41" s="2" t="n"/>
    </row>
    <row r="42">
      <c r="A42" s="2" t="inlineStr">
        <is>
          <t>I. Custom Target</t>
        </is>
      </c>
      <c r="B42" s="2" t="inlineStr">
        <is>
          <t>Chest, 60, intermediate</t>
        </is>
      </c>
      <c r="C42" s="2" t="inlineStr">
        <is>
          <t>wes / 2026-11-04</t>
        </is>
      </c>
      <c r="D42" s="2" t="inlineStr">
        <is>
          <t>none</t>
        </is>
      </c>
      <c r="E42" s="2" t="inlineStr">
        <is>
          <t>intermediate</t>
        </is>
      </c>
      <c r="F42" s="2" t="inlineStr">
        <is>
          <t>Build muscle</t>
        </is>
      </c>
      <c r="G42" s="2" t="n">
        <v>60</v>
      </c>
      <c r="H42" s="2" t="inlineStr">
        <is>
          <t>Custom Target: chest</t>
        </is>
      </c>
      <c r="I42" s="2" t="inlineStr">
        <is>
          <t>none</t>
        </is>
      </c>
      <c r="J42" s="2" t="inlineStr">
        <is>
          <t>first session</t>
        </is>
      </c>
      <c r="K42" s="2" t="inlineStr">
        <is>
          <t>Custom Target</t>
        </is>
      </c>
      <c r="L42" s="2" t="inlineStr">
        <is>
          <t>Traditional</t>
        </is>
      </c>
      <c r="M42" s="2" t="n">
        <v>50.6</v>
      </c>
      <c r="N42" s="2" t="n">
        <v>17</v>
      </c>
      <c r="O42" s="2" t="inlineStr"/>
      <c r="P42" s="2" t="inlineStr">
        <is>
          <t>Incline Dumbbell Press: 5 × 5–7  RIR 2  rest 165 s
Push-Up: 4 × 8–12  RIR 2  rest 120 s
Parallel Bar Dip: 4 × 8–10  RIR 2  rest 120 s
Cable Fly: 4 × 10–12  RIR 1  rest 60 s</t>
        </is>
      </c>
      <c r="Q42" s="2" t="inlineStr">
        <is>
          <t>Your muscle goal is why 1 accessory movement sits behind the main lifts.</t>
        </is>
      </c>
      <c r="R42" s="2" t="inlineStr">
        <is>
          <t>experience = intermediate → intended: match_programming_vocabulary_to_level → realized: intermediate pool: Parallel Bar Dip
goal = build_muscle → intended: hypertrophy_volume_and_accessories → realized: 1 accessory movement behind the main lift, 4 accessory sets in the 10–20 range
target = ['chest'] → intended: cover_every_target_muscle_directly → realized: chest: Incline Dumbbell Press, Push-Up, Parallel Bar Dip, Cable Fly
duration = 60 → intended: fill_the_requested_time_with_useful_work → realized: filled toward the requested time: primary_set_added; estimated 50.6 min for a 60-minute request
equipment = commercial_gym → intended: availability_only → realized: nothing (no claim made)
history = first session → intended: rotate_shape_and_movements_keep_the_main_lift → realized: nothing (no claim made)</t>
        </is>
      </c>
      <c r="S42" s="2" t="inlineStr">
        <is>
          <t>no State</t>
        </is>
      </c>
      <c r="T42" s="2" t="inlineStr">
        <is>
          <t>All 4 movements train chest, opening with Incline Dumbbell Press (5 × 5–7).
17 working sets across 4 exercises, about 51 minutes.
Main work stops about 2 reps short of failure.
Intermediate difficulty: every movement is within the intermediate complexity and skill limits.
Your profile goal is to build muscle; today's Strength session is built from today's choices.</t>
        </is>
      </c>
      <c r="U42" s="2" t="n"/>
      <c r="V42" s="2" t="n"/>
    </row>
    <row r="43">
      <c r="A43" s="2" t="inlineStr">
        <is>
          <t>I. Custom Target</t>
        </is>
      </c>
      <c r="B43" s="2" t="inlineStr">
        <is>
          <t>Biceps, 60, intermediate, Bored</t>
        </is>
      </c>
      <c r="C43" s="2" t="inlineStr">
        <is>
          <t>wes / 2026-11-05</t>
        </is>
      </c>
      <c r="D43" s="2" t="inlineStr">
        <is>
          <t>bored</t>
        </is>
      </c>
      <c r="E43" s="2" t="inlineStr">
        <is>
          <t>intermediate</t>
        </is>
      </c>
      <c r="F43" s="2" t="inlineStr">
        <is>
          <t>Build muscle</t>
        </is>
      </c>
      <c r="G43" s="2" t="n">
        <v>60</v>
      </c>
      <c r="H43" s="2" t="inlineStr">
        <is>
          <t>Custom Target: biceps</t>
        </is>
      </c>
      <c r="I43" s="2" t="inlineStr">
        <is>
          <t>none</t>
        </is>
      </c>
      <c r="J43" s="2" t="inlineStr">
        <is>
          <t>first session</t>
        </is>
      </c>
      <c r="K43" s="2" t="inlineStr">
        <is>
          <t>Custom Target</t>
        </is>
      </c>
      <c r="L43" s="2" t="inlineStr">
        <is>
          <t>Compound + Paired Accessories</t>
        </is>
      </c>
      <c r="M43" s="2" t="n">
        <v>43.3</v>
      </c>
      <c r="N43" s="2" t="n">
        <v>16</v>
      </c>
      <c r="O43" s="2" t="inlineStr">
        <is>
          <t>drop_set</t>
        </is>
      </c>
      <c r="P43" s="2" t="inlineStr">
        <is>
          <t>Curl to Arnold Press: 4 × 8–10  RIR 2  rest 150 s
Bayesian Cable Curl: 4 × 12–15/side · drop set on the final set  RIR 1  (On the last set, hit the reps, drop the load about 25% and go again to the same reps-in-reserve. Stop each set with about 1 rep left in the tank.)  rest 60 s
Barbell Curl: 4 × 12–15  RIR 1  rest 60 s
EZ-Bar Preacher Curl: 4 × 12–15  RIR 1  rest 60 s</t>
        </is>
      </c>
      <c r="Q43" s="2" t="inlineStr">
        <is>
          <t>You're bored today, so we're changing the feel with drop set on the final set on the Bayesian Cable Curl and bringing in 1 less-familiar movement. As an intermediate lifter, drop set on the final set on Bayesian Cable Curl is on the table, and your muscle goal keeps 3 accessory movements working at moderate reps.</t>
        </is>
      </c>
      <c r="R43" s="2" t="inlineStr">
        <is>
          <t>state = bored (expression: new_exercises) → intended: refresh_the_experience → realized: drop set on the final set on Bayesian Cable Curl; Bayesian Cable Curl (new vs no-State build)
experience = intermediate → intended: match_programming_vocabulary_to_level → realized: drop set on the final set on Bayesian Cable Curl (intermediate and up); intermediate pool: Curl to Arnold Press
goal = build_muscle → intended: hypertrophy_volume_and_accessories → realized: Compound + Paired Accessories shape (muscle goal weights it up); 3 accessory movements, 12 accessory sets in the 10–20 range; drop set on the final set on Bayesian Cable Curl
target = ['biceps'] → intended: cover_every_target_muscle_directly → realized: biceps: Curl to Arnold Press, Bayesian Cable Curl, Barbell Curl, EZ-Bar Preacher Curl
duration = 60 → intended: fill_the_requested_time_with_useful_work → realized: filled toward the requested time: rest_extended; estimated 43.3 min for a 60-minute request
equipment = commercial_gym → intended: availability_only → realized: nothing (no claim made)
history = first session → intended: rotate_shape_and_movements_keep_the_main_lift → realized: nothing (no claim made)</t>
        </is>
      </c>
      <c r="S43" s="2" t="inlineStr">
        <is>
          <t>bored: attempt 0 expression 'new_exercises' realized ['set_method', 'exercises'] no-ops [] → satisfied</t>
        </is>
      </c>
      <c r="T43" s="2" t="inlineStr">
        <is>
          <t>All 4 movements train biceps, opening with Curl to Arnold Press (4 × 8–10).
16 working sets across 4 exercises, about 43 minutes.
Main work stops about 2 reps short of failure.
Intermediate difficulty: every movement is within the intermediate complexity and skill limits.
Your profile goal is to build muscle; today's Strength session is built from today's choices.</t>
        </is>
      </c>
      <c r="U43" s="2" t="n"/>
      <c r="V43" s="2" t="n"/>
    </row>
    <row r="44">
      <c r="A44" s="2" t="inlineStr">
        <is>
          <t>I. Custom Target</t>
        </is>
      </c>
      <c r="B44" s="2" t="inlineStr">
        <is>
          <t>Back + Core, 30, intermediate</t>
        </is>
      </c>
      <c r="C44" s="2" t="inlineStr">
        <is>
          <t>wes / 2026-11-06</t>
        </is>
      </c>
      <c r="D44" s="2" t="inlineStr">
        <is>
          <t>none</t>
        </is>
      </c>
      <c r="E44" s="2" t="inlineStr">
        <is>
          <t>intermediate</t>
        </is>
      </c>
      <c r="F44" s="2" t="inlineStr">
        <is>
          <t>Build muscle</t>
        </is>
      </c>
      <c r="G44" s="2" t="n">
        <v>30</v>
      </c>
      <c r="H44" s="2" t="inlineStr">
        <is>
          <t>Custom Target: back + core</t>
        </is>
      </c>
      <c r="I44" s="2" t="inlineStr">
        <is>
          <t>none</t>
        </is>
      </c>
      <c r="J44" s="2" t="inlineStr">
        <is>
          <t>first session</t>
        </is>
      </c>
      <c r="K44" s="2" t="inlineStr">
        <is>
          <t>Custom Target</t>
        </is>
      </c>
      <c r="L44" s="2" t="inlineStr">
        <is>
          <t>Compound + Paired Accessories</t>
        </is>
      </c>
      <c r="M44" s="2" t="n">
        <v>27.2</v>
      </c>
      <c r="N44" s="2" t="n">
        <v>12</v>
      </c>
      <c r="O44" s="2" t="inlineStr">
        <is>
          <t>slow_eccentric</t>
        </is>
      </c>
      <c r="P44" s="2" t="inlineStr">
        <is>
          <t>Barbell Row: 4 × 8–10 · 3 s eccentric  RIR 2  (Take 3 s to lower every rep, then lift at normal speed. Stop each set with about 2 reps left in the tank.)  rest 120 s
LADDER Cable Pullover: 4 sets: 15/12/9/7  RIR 1  rest 30 s
Hanging Knee Raise: 4 × 12–15  RIR 1  rest 45 s</t>
        </is>
      </c>
      <c r="Q44" s="2" t="inlineStr">
        <is>
          <t>As an intermediate lifter, 3 s eccentric on Barbell Row is on the table, and your muscle goal keeps 2 accessory movements working at moderate reps. Both back and core get direct work, in that order.</t>
        </is>
      </c>
      <c r="R44" s="2" t="inlineStr">
        <is>
          <t>experience = intermediate → intended: match_programming_vocabulary_to_level → realized: 3 s eccentric on Barbell Row (intermediate and up); intermediate pool: Barbell Row
goal = build_muscle → intended: hypertrophy_volume_and_accessories → realized: Compound + Paired Accessories shape (muscle goal weights it up); 2 accessory movements, 8 accessory sets in the 10–20 range; 3 s eccentric on Barbell Row
target = ['back', 'core'] → intended: cover_every_target_muscle_directly → realized: back: Barbell Row, Cable Pullover; core: Hanging Knee Raise
duration = 30 → intended: fill_the_requested_time_with_useful_work → realized: filled toward the requested time: set_added; 30-minute session: 3 exercises, 12 working sets, main work kept; estimated 27.2 min for a 30-minute request
equipment = commercial_gym → intended: availability_only → realized: nothing (no claim made)
history = first session → intended: rotate_shape_and_movements_keep_the_main_lift → realized: nothing (no claim made)</t>
        </is>
      </c>
      <c r="S44" s="2" t="inlineStr">
        <is>
          <t>no State</t>
        </is>
      </c>
      <c r="T44" s="2" t="inlineStr">
        <is>
          <t>30 minutes: 3 exercises and 12 working sets, with the main work kept.
Back gets 2 movements while Core gets 1, with Core saved for the end.
12 working sets across 3 exercises, about 27 minutes.
Main work stops about 2 reps short of failure.
Intermediate difficulty: every movement is within the intermediate complexity and skill limits.</t>
        </is>
      </c>
      <c r="U44" s="2" t="n"/>
      <c r="V44" s="2" t="n"/>
    </row>
    <row r="45">
      <c r="A45" s="2" t="inlineStr">
        <is>
          <t>I. Custom Target</t>
        </is>
      </c>
      <c r="B45" s="2" t="inlineStr">
        <is>
          <t>Quads + Hamstrings, 60, advanced, build strength, Amped</t>
        </is>
      </c>
      <c r="C45" s="2" t="inlineStr">
        <is>
          <t>wes / 2026-11-07</t>
        </is>
      </c>
      <c r="D45" s="2" t="inlineStr">
        <is>
          <t>amped</t>
        </is>
      </c>
      <c r="E45" s="2" t="inlineStr">
        <is>
          <t>advanced</t>
        </is>
      </c>
      <c r="F45" s="2" t="inlineStr">
        <is>
          <t>Build strength</t>
        </is>
      </c>
      <c r="G45" s="2" t="n">
        <v>60</v>
      </c>
      <c r="H45" s="2" t="inlineStr">
        <is>
          <t>Custom Target: quads + hamstrings</t>
        </is>
      </c>
      <c r="I45" s="2" t="inlineStr">
        <is>
          <t>none</t>
        </is>
      </c>
      <c r="J45" s="2" t="inlineStr">
        <is>
          <t>first session</t>
        </is>
      </c>
      <c r="K45" s="2" t="inlineStr">
        <is>
          <t>Custom Target</t>
        </is>
      </c>
      <c r="L45" s="2" t="inlineStr">
        <is>
          <t>Compound + Paired Accessories</t>
        </is>
      </c>
      <c r="M45" s="2" t="n">
        <v>58.1</v>
      </c>
      <c r="N45" s="2" t="n">
        <v>22</v>
      </c>
      <c r="O45" s="2" t="inlineStr">
        <is>
          <t>slow_eccentric</t>
        </is>
      </c>
      <c r="P45" s="2" t="inlineStr">
        <is>
          <t>Smith Machine Squat: 4 × 6–8 · 3 s eccentric  RIR 1  (Take 3 s to lower every rep, then lift at normal speed. Stop each set with about 1 rep left in the tank.)  rest 120 s
Walking Lunge: 4 × 6–8/side  RIR 1  rest 120 s
SUPERSET A (3 rounds, rest 60 s after each round)
  A1 Reverse Nordic Curl: 3 × 12–15  RIR 1
  A2 Standing Single-Leg Curl: 3 × 10–12/side  RIR 1
Barbell Good Morning: 4 × 6–8  RIR 1  rest 120 s
Conventional Deadlift: 4 × 6–8  RIR 1  rest 120 s</t>
        </is>
      </c>
      <c r="Q45" s="2" t="inlineStr">
        <is>
          <t>You're amped today, so we're taking Smith Machine Squat and Walking Lunge a rep closer to failure. Since you're an advanced lifter, we're keeping 3 s eccentric on Smith Machine Squat in the mix. Both quads and hamstrings get direct work, in that order.</t>
        </is>
      </c>
      <c r="R45" s="2" t="inlineStr">
        <is>
          <t>state = amped (expression: heavy_end) → intended: use_readiness_productively → realized: Smith Machine Squat RIR 2→1; Walking Lunge RIR 2→1; Barbell Good Morning RIR 2→1; Conventional Deadlift RIR 2→1
experience = advanced → intended: match_programming_vocabulary_to_level → realized: 3 s eccentric on Smith Machine Squat; higher-complexity movements kept in: Barbell Good Morning, Conventional Deadlift
goal = build_strength → intended: primary_emphasis_heavier_longer_rest → realized: nothing (no claim made)
target = ['quads', 'hamstrings'] → intended: cover_every_target_muscle_directly → realized: quads: Smith Machine Squat, Walking Lunge, Reverse Nordic Curl; hamstrings: Barbell Good Morning, Conventional Deadlift, Standing Single-Leg Curl
duration = 60 → intended: fill_the_requested_time_with_useful_work → realized: trimmed to fit: finisher_dropped; estimated 58.1 min for a 60-minute request
equipment = commercial_gym → intended: availability_only → realized: nothing (no claim made)
history = first session → intended: rotate_shape_and_movements_keep_the_main_lift → realized: nothing (no claim made)</t>
        </is>
      </c>
      <c r="S45" s="2" t="inlineStr">
        <is>
          <t>amped: attempt 0 expression 'heavy_end' realized ['rir'] no-ops ['state_reps_no_effect'] → satisfied</t>
        </is>
      </c>
      <c r="T45" s="2" t="inlineStr">
        <is>
          <t>Quads and Hamstrings get 3 movements each.
22 working sets across 6 exercises, about 58 minutes.
Main work stops about 1 rep short of failure.
Advanced difficulty keeps the full exercise range open; today the best fits sit within it without needing the most complex options.
Your profile goal is to build strength; today's Strength session is built from today's choices.</t>
        </is>
      </c>
      <c r="U45" s="2" t="n"/>
      <c r="V45" s="2" t="n"/>
    </row>
    <row r="46">
      <c r="A46" s="2" t="inlineStr">
        <is>
          <t>J. Sequential: same user, Upper Push, Amped every session (4 sessions)</t>
        </is>
      </c>
      <c r="B46" s="2" t="inlineStr">
        <is>
          <t>Session 1 (amped)</t>
        </is>
      </c>
      <c r="C46" s="2" t="inlineStr">
        <is>
          <t>seqA / 2026-11-10</t>
        </is>
      </c>
      <c r="D46" s="2" t="inlineStr">
        <is>
          <t>amped</t>
        </is>
      </c>
      <c r="E46" s="2" t="inlineStr">
        <is>
          <t>intermediate</t>
        </is>
      </c>
      <c r="F46" s="2" t="inlineStr">
        <is>
          <t>Build muscle</t>
        </is>
      </c>
      <c r="G46" s="2" t="n">
        <v>60</v>
      </c>
      <c r="H46" s="2" t="inlineStr">
        <is>
          <t>Upper Push</t>
        </is>
      </c>
      <c r="I46" s="2" t="inlineStr">
        <is>
          <t>none</t>
        </is>
      </c>
      <c r="J46" s="2" t="inlineStr">
        <is>
          <t>first session</t>
        </is>
      </c>
      <c r="K46" s="2" t="inlineStr">
        <is>
          <t>Upper Push</t>
        </is>
      </c>
      <c r="L46" s="2" t="inlineStr">
        <is>
          <t>Top Set + Back-off</t>
        </is>
      </c>
      <c r="M46" s="2" t="n">
        <v>59.5</v>
      </c>
      <c r="N46" s="2" t="n">
        <v>21</v>
      </c>
      <c r="O46" s="2" t="inlineStr"/>
      <c r="P46" s="2" t="inlineStr">
        <is>
          <t>Barbell Bench Press: 4 sets: 4/7/7/7  RIR 1  (Top set heavy, then back off 10–15% for the remaining sets. Stop each set with about 1 rep left in the tank.)  rest 225 s
Parallel Bar Dip: 4 × 8–10  RIR 2  rest 135 s
Smith Machine Incline Press: 4 × 8–10  RIR 2  rest 135 s
Dumbbell Fly: 3 × 10–12  RIR 1  rest 45 s
Cross-Body Cable Triceps Extension: 3 × 10–12/side  RIR 1  rest 45 s
Machine Triceps Extension: 3 × 10–12  RIR 1  rest 45 s</t>
        </is>
      </c>
      <c r="Q46" s="2" t="inlineStr">
        <is>
          <t>You're amped today, so we're putting that readiness into a heavy top set and back-off sets and taking Barbell Bench Press a rep closer to failure. Your muscle goal is why 3 accessory movements sit behind the main lifts.</t>
        </is>
      </c>
      <c r="R46" s="2" t="inlineStr">
        <is>
          <t>state = amped (expression: top_set) → intended: use_readiness_productively → realized: Barbell Bench Press RIR 2→1; Top Set + Back-off instead of Compound + Paired Accessories
experience = intermediate → intended: match_programming_vocabulary_to_level → realized: Top Set + Back-off (intermediate and up); intermediate pool: Barbell Bench Press, Parallel Bar Dip
goal = build_muscle → intended: hypertrophy_volume_and_accessories → realized: 3 accessory movements behind the main lift, 9 accessory sets in the 10–20 range
duration = 60 → intended: fill_the_requested_time_with_useful_work → realized: trimmed to fit: accessory_rest_shortened; estimated 59.5 min for a 60-minute request
equipment = commercial_gym → intended: availability_only → realized: nothing (no claim made)
history = first session → intended: rotate_shape_and_movements_keep_the_main_lift → realized: nothing (no claim made)</t>
        </is>
      </c>
      <c r="S46" s="2" t="inlineStr">
        <is>
          <t>amped: attempt 0 expression 'top_set' realized ['rir', 'structure'] no-ops [] → satisfied</t>
        </is>
      </c>
      <c r="T46" s="2" t="inlineStr">
        <is>
          <t>Barbell Bench Press (4 sets: 4/7/7/7) leads as the main lift, then 2 strength lifts and 3 accessories.
21 working sets across 6 exercises, about 60 minutes.
Main work stops about 1 rep short of failure.
Intermediate difficulty: every movement is within the intermediate complexity and skill limits.
Your profile goal is to build muscle; today's Strength session is built from today's choices.</t>
        </is>
      </c>
      <c r="U46" s="2" t="n"/>
      <c r="V46" s="2" t="n"/>
    </row>
    <row r="47">
      <c r="A47" s="2" t="inlineStr">
        <is>
          <t>J. Sequential: same user, Upper Push, Amped every session (4 sessions)</t>
        </is>
      </c>
      <c r="B47" s="2" t="inlineStr">
        <is>
          <t>Session 2 (amped)</t>
        </is>
      </c>
      <c r="C47" s="2" t="inlineStr">
        <is>
          <t>seqA / 2026-11-12</t>
        </is>
      </c>
      <c r="D47" s="2" t="inlineStr">
        <is>
          <t>amped</t>
        </is>
      </c>
      <c r="E47" s="2" t="inlineStr">
        <is>
          <t>intermediate</t>
        </is>
      </c>
      <c r="F47" s="2" t="inlineStr">
        <is>
          <t>Build muscle</t>
        </is>
      </c>
      <c r="G47" s="2" t="n">
        <v>60</v>
      </c>
      <c r="H47" s="2" t="inlineStr">
        <is>
          <t>Upper Push</t>
        </is>
      </c>
      <c r="I47" s="2" t="inlineStr">
        <is>
          <t>none</t>
        </is>
      </c>
      <c r="J47" s="2" t="inlineStr">
        <is>
          <t>1 completed session(s); last: strength_upper_push / Top Set + Back-off</t>
        </is>
      </c>
      <c r="K47" s="2" t="inlineStr">
        <is>
          <t>Upper Push</t>
        </is>
      </c>
      <c r="L47" s="2" t="inlineStr">
        <is>
          <t>Compound + Paired Accessories</t>
        </is>
      </c>
      <c r="M47" s="2" t="n">
        <v>56.4</v>
      </c>
      <c r="N47" s="2" t="n">
        <v>20</v>
      </c>
      <c r="O47" s="2" t="inlineStr"/>
      <c r="P47" s="2" t="inlineStr">
        <is>
          <t>Barbell Bench Press: 5 × 5–7  RIR 2  rest 180 s
Parallel Bar Dip: 4 × 8–10  RIR 2  rest 120 s
Plate-Loaded Incline Press: 4 × 8–10  RIR 2  rest 120 s
SUPERSET A (2 rounds, rest 60 s after each round)
  A1 Cable Fly: 2 × 12–15  RIR 1
  A2 Dumbbell Overhead Triceps Extension: 2 × 12–15  RIR 1
Diamond Push-Up: 3 × 12–15  RIR 1  rest 60 s</t>
        </is>
      </c>
      <c r="Q47" s="2" t="inlineStr">
        <is>
          <t>You're amped today, so we're adding a working set to Barbell Bench Press. Your muscle goal is why 3 accessory movements sit behind the main lifts. Barbell Bench Press and Parallel Bar Dip stay so your progression carries over, the session runs a different shape from last time and 4 movements are new versus your last one.</t>
        </is>
      </c>
      <c r="R47" s="2" t="inlineStr">
        <is>
          <t>state = amped (expression: extra_set_paired) → intended: use_readiness_productively → realized: Barbell Bench Press 4→5 sets
experience = intermediate → intended: match_programming_vocabulary_to_level → realized: intermediate pool: Barbell Bench Press, Parallel Bar Dip
goal = build_muscle → intended: hypertrophy_volume_and_accessories → realized: Compound + Paired Accessories shape (muscle goal weights it up); 3 accessory movements behind the main lift, 7 accessory sets in the 10–20 range
duration = 60 → intended: fill_the_requested_time_with_useful_work → realized: trimmed to fit: set_removed; estimated 56.4 min for a 60-minute request
equipment = commercial_gym → intended: availability_only → realized: nothing (no claim made)
history = 1 completed Strength sessions → intended: rotate_shape_and_movements_keep_the_main_lift → realized: different shape from your last Upper Push (Top Set + Back-off then, Compound + Paired Accessories now); main lift continuity for progression: Barbell Bench Press, Parallel Bar Dip; 4 movements not in your last Upper Push session; amped: expressed differently from last time (top_set then, extra_set_paired now)</t>
        </is>
      </c>
      <c r="S47" s="2" t="inlineStr">
        <is>
          <t>amped: attempt 0 expression 'extra_set_paired' realized ['volume'] no-ops [] → satisfied</t>
        </is>
      </c>
      <c r="T47" s="2" t="inlineStr">
        <is>
          <t>Barbell Bench Press (5 × 5–7) leads as the main lift, then 2 strength lifts and 3 accessories, with part of it run as a superset.
20 working sets across 6 exercises, about 56 minutes.
Main work stops about 2 reps short of failure, accessories about 1 rep short of failure.
Intermediate difficulty: every movement is within the intermediate complexity and skill limits.
Your profile goal is to build muscle; today's Strength session is built from today's choices.</t>
        </is>
      </c>
      <c r="U47" s="2" t="n"/>
      <c r="V47" s="2" t="n"/>
    </row>
    <row r="48">
      <c r="A48" s="2" t="inlineStr">
        <is>
          <t>J. Sequential: same user, Upper Push, Amped every session (4 sessions)</t>
        </is>
      </c>
      <c r="B48" s="2" t="inlineStr">
        <is>
          <t>Session 3 (amped)</t>
        </is>
      </c>
      <c r="C48" s="2" t="inlineStr">
        <is>
          <t>seqA / 2026-11-14</t>
        </is>
      </c>
      <c r="D48" s="2" t="inlineStr">
        <is>
          <t>amped</t>
        </is>
      </c>
      <c r="E48" s="2" t="inlineStr">
        <is>
          <t>intermediate</t>
        </is>
      </c>
      <c r="F48" s="2" t="inlineStr">
        <is>
          <t>Build muscle</t>
        </is>
      </c>
      <c r="G48" s="2" t="n">
        <v>60</v>
      </c>
      <c r="H48" s="2" t="inlineStr">
        <is>
          <t>Upper Push</t>
        </is>
      </c>
      <c r="I48" s="2" t="inlineStr">
        <is>
          <t>none</t>
        </is>
      </c>
      <c r="J48" s="2" t="inlineStr">
        <is>
          <t>2 completed session(s); last: strength_upper_push / Compound + Paired Accessories</t>
        </is>
      </c>
      <c r="K48" s="2" t="inlineStr">
        <is>
          <t>Upper Push</t>
        </is>
      </c>
      <c r="L48" s="2" t="inlineStr">
        <is>
          <t>Heavy Primary</t>
        </is>
      </c>
      <c r="M48" s="2" t="n">
        <v>58.7</v>
      </c>
      <c r="N48" s="2" t="n">
        <v>19</v>
      </c>
      <c r="O48" s="2" t="inlineStr"/>
      <c r="P48" s="2" t="inlineStr">
        <is>
          <t>Barbell Bench Press: 5 × 4–6  RIR 1  rest 225 s
Parallel Bar Dip: 4 × 8–10  RIR 2  rest 135 s
Smith Machine Incline Press: 4 × 8–10  RIR 2  rest 135 s
Pec Deck: 3 × 10–12  RIR 1  rest 60 s
Cable Triceps Pressdown: 3 × 10–12  RIR 1  rest 60 s</t>
        </is>
      </c>
      <c r="Q48" s="2" t="inlineStr">
        <is>
          <t>You're amped today, so we're taking Barbell Bench Press a rep closer to failure. Your muscle goal is why 2 accessory movements sit behind the main lifts. Barbell Bench Press and Parallel Bar Dip stay so your progression carries over, the session runs a different shape from last time and 3 movements are new versus your last one.</t>
        </is>
      </c>
      <c r="R48" s="2" t="inlineStr">
        <is>
          <t>state = amped (expression: top_set) → intended: use_readiness_productively → realized: Barbell Bench Press RIR 2→1
experience = intermediate → intended: match_programming_vocabulary_to_level → realized: intermediate pool: Barbell Bench Press, Parallel Bar Dip
goal = build_muscle → intended: hypertrophy_volume_and_accessories → realized: 2 accessory movements behind the main lift, 6 accessory sets in the 10–20 range
duration = 60 → intended: fill_the_requested_time_with_useful_work → realized: estimated 58.7 min for a 60-minute request
equipment = commercial_gym → intended: availability_only → realized: nothing (no claim made)
history = 2 completed Strength sessions → intended: rotate_shape_and_movements_keep_the_main_lift → realized: different shape from your last Upper Push (Compound + Paired Accessories then, Heavy Primary now); main lift continuity for progression: Barbell Bench Press, Parallel Bar Dip; 3 movements not in your last Upper Push session; amped: expressed differently from last time (extra_set_paired then, top_set now)</t>
        </is>
      </c>
      <c r="S48" s="2" t="inlineStr">
        <is>
          <t>amped: attempt 0 expression 'extra_set_paired' realized [] no-ops ['state_volume_no_effect'] → NOT satisfied
amped: fallback extra_set_paired → top_set
amped: attempt 1 expression 'top_set' realized ['rir'] no-ops [] → satisfied</t>
        </is>
      </c>
      <c r="T48" s="2" t="inlineStr">
        <is>
          <t>Barbell Bench Press (5 × 4–6) leads as the main lift, then 2 strength lifts and 2 accessories.
19 working sets across 5 exercises, about 59 minutes.
Main work stops about 1 rep short of failure.
Intermediate difficulty: every movement is within the intermediate complexity and skill limits.
Your profile goal is to build muscle; today's Strength session is built from today's choices.</t>
        </is>
      </c>
      <c r="U48" s="2" t="n"/>
      <c r="V48" s="2" t="n"/>
    </row>
    <row r="49">
      <c r="A49" s="2" t="inlineStr">
        <is>
          <t>J. Sequential: same user, Upper Push, Amped every session (4 sessions)</t>
        </is>
      </c>
      <c r="B49" s="2" t="inlineStr">
        <is>
          <t>Session 4 (amped)</t>
        </is>
      </c>
      <c r="C49" s="2" t="inlineStr">
        <is>
          <t>seqA / 2026-11-16</t>
        </is>
      </c>
      <c r="D49" s="2" t="inlineStr">
        <is>
          <t>amped</t>
        </is>
      </c>
      <c r="E49" s="2" t="inlineStr">
        <is>
          <t>intermediate</t>
        </is>
      </c>
      <c r="F49" s="2" t="inlineStr">
        <is>
          <t>Build muscle</t>
        </is>
      </c>
      <c r="G49" s="2" t="n">
        <v>60</v>
      </c>
      <c r="H49" s="2" t="inlineStr">
        <is>
          <t>Upper Push</t>
        </is>
      </c>
      <c r="I49" s="2" t="inlineStr">
        <is>
          <t>none</t>
        </is>
      </c>
      <c r="J49" s="2" t="inlineStr">
        <is>
          <t>3 completed session(s); last: strength_upper_push / Heavy Primary</t>
        </is>
      </c>
      <c r="K49" s="2" t="inlineStr">
        <is>
          <t>Upper Push</t>
        </is>
      </c>
      <c r="L49" s="2" t="inlineStr">
        <is>
          <t>Compound + Paired Accessories</t>
        </is>
      </c>
      <c r="M49" s="2" t="n">
        <v>54.5</v>
      </c>
      <c r="N49" s="2" t="n">
        <v>19</v>
      </c>
      <c r="O49" s="2" t="inlineStr">
        <is>
          <t>drop_set</t>
        </is>
      </c>
      <c r="P49" s="2" t="inlineStr">
        <is>
          <t>Barbell Bench Press: 4 × 4–6  RIR 2  rest 180 s
Parallel Bar Dip: 4 × 8–10  RIR 1  rest 120 s
Plate-Loaded Incline Press: 4 × 8–10 · drop set on the final set  RIR 1  (On the last set, hit the reps, drop the load about 25% and go again to the same reps-in-reserve. Stop each set with about 1 rep left in the tank.)  rest 120 s
SUPERSET A (2 rounds, rest 60 s after each round)
  A1 Dumbbell Fly: 2 × 12–15  RIR 1
  A2 EZ-Bar Skull Crusher: 2 × 12–15  RIR 1
Cable Triceps Kickback: 3 × 12–15/side  RIR 1  rest 60 s</t>
        </is>
      </c>
      <c r="Q49" s="2" t="inlineStr">
        <is>
          <t>You're amped today, so we're taking Parallel Bar Dip and Plate-Loaded Incline Press a rep closer to failure, pushing the main lifts to the heavy end of their range and using drop set on the final set on Plate-Loaded Incline Press. As an intermediate lifter, drop set on the final set on Plate-Loaded Incline Press is on the table, and your muscle goal is why 3 accessory movements sit behind the main lifts. Barbell Bench Press and Parallel Bar Dip stay so your progression carries over, the session runs a different shape from last time and 4 movements are new versus your last one.</t>
        </is>
      </c>
      <c r="R49" s="2" t="inlineStr">
        <is>
          <t>state = amped (expression: heavy_end) → intended: use_readiness_productively → realized: Barbell Bench Press 5–7→4–6; Parallel Bar Dip RIR 2→1; Plate-Loaded Incline Press RIR 2→1; drop set on the final set on Plate-Loaded Incline Press
experience = intermediate → intended: match_programming_vocabulary_to_level → realized: drop set on the final set on Plate-Loaded Incline Press (intermediate and up); intermediate pool: Barbell Bench Press, Parallel Bar Dip
goal = build_muscle → intended: hypertrophy_volume_and_accessories → realized: Compound + Paired Accessories shape (muscle goal weights it up); 3 accessory movements behind the main lift, 7 accessory sets in the 10–20 range; drop set on the final set on Plate-Loaded Incline Press
duration = 60 → intended: fill_the_requested_time_with_useful_work → realized: trimmed to fit: finisher_dropped, set_removed; estimated 54.5 min for a 60-minute request
equipment = commercial_gym → intended: availability_only → realized: nothing (no claim made)
history = 3 completed Strength sessions → intended: rotate_shape_and_movements_keep_the_main_lift → realized: different shape from your last Upper Push (Heavy Primary then, Compound + Paired Accessories now); main lift continuity for progression: Barbell Bench Press, Parallel Bar Dip; 4 movements not in your last Upper Push session; amped: expressed differently from last time (top_set then, heavy_end now)</t>
        </is>
      </c>
      <c r="S49" s="2" t="inlineStr">
        <is>
          <t>amped: attempt 0 expression 'heavy_end' realized ['reps', 'rir', 'set_method'] no-ops [] → satisfied</t>
        </is>
      </c>
      <c r="T49" s="2" t="inlineStr">
        <is>
          <t>Barbell Bench Press (4 × 4–6) leads as the main lift, then 2 strength lifts and 3 accessories, with part of it run as a superset.
19 working sets across 6 exercises, about 54 minutes.
Main work stops about 2 reps short of failure, accessories about 1 rep short of failure.
Intermediate difficulty: every movement is within the intermediate complexity and skill limits.
Your profile goal is to build muscle; today's Strength session is built from today's choices.</t>
        </is>
      </c>
      <c r="U49" s="2" t="n"/>
      <c r="V49" s="2" t="n"/>
    </row>
    <row r="50">
      <c r="A50" s="2" t="inlineStr">
        <is>
          <t>K. Sequential: same user, MOOD's Pick, no State (5 sessions)</t>
        </is>
      </c>
      <c r="B50" s="2" t="inlineStr">
        <is>
          <t>Session 1 (no State)</t>
        </is>
      </c>
      <c r="C50" s="2" t="inlineStr">
        <is>
          <t>seqB / 2026-11-10</t>
        </is>
      </c>
      <c r="D50" s="2" t="inlineStr">
        <is>
          <t>none</t>
        </is>
      </c>
      <c r="E50" s="2" t="inlineStr">
        <is>
          <t>intermediate</t>
        </is>
      </c>
      <c r="F50" s="2" t="inlineStr">
        <is>
          <t>Build muscle</t>
        </is>
      </c>
      <c r="G50" s="2" t="n">
        <v>60</v>
      </c>
      <c r="H50" s="2" t="inlineStr">
        <is>
          <t>MOOD's Pick</t>
        </is>
      </c>
      <c r="I50" s="2" t="inlineStr">
        <is>
          <t>none</t>
        </is>
      </c>
      <c r="J50" s="2" t="inlineStr">
        <is>
          <t>first session</t>
        </is>
      </c>
      <c r="K50" s="2" t="inlineStr">
        <is>
          <t>Upper Pull</t>
        </is>
      </c>
      <c r="L50" s="2" t="inlineStr">
        <is>
          <t>Volume</t>
        </is>
      </c>
      <c r="M50" s="2" t="n">
        <v>54.2</v>
      </c>
      <c r="N50" s="2" t="n">
        <v>19</v>
      </c>
      <c r="O50" s="2" t="inlineStr">
        <is>
          <t>drop_set</t>
        </is>
      </c>
      <c r="P50" s="2" t="inlineStr">
        <is>
          <t>Chest-Supported Machine Row: 4 × 6–8  RIR 2  rest 150 s
Pull-Up: 4 × 10–12  RIR 2  rest 120 s
Bent-Over Dumbbell Row (Two-Arm): 4 × 10–12  RIR 2  rest 120 s
SUPERSET A (2 rounds, rest 60 s after each round)
  A1 Straight-Arm Pulldown: 2 × 12–15 · drop set on the final set  RIR 1  (On the last set, hit the reps, drop the load about 25% and go again to the same reps-in-reserve. Stop each set with about 1 rep left in the tank.)
  A2 EZ-Bar Preacher Curl: 2 × 12–15  RIR 1
Bayesian Cable Curl: 3 × 12–15/side  RIR 1  rest 60 s</t>
        </is>
      </c>
      <c r="Q50" s="2" t="inlineStr">
        <is>
          <t>As an intermediate lifter, drop set on the final set on Straight-Arm Pulldown is on the table, and your muscle goal is why 3 accessory movements sit behind the main lifts.</t>
        </is>
      </c>
      <c r="R50" s="2" t="inlineStr">
        <is>
          <t>experience = intermediate → intended: match_programming_vocabulary_to_level → realized: drop set on the final set on Straight-Arm Pulldown (intermediate and up); intermediate pool: Pull-Up
goal = build_muscle → intended: hypertrophy_volume_and_accessories → realized: Volume shape (muscle goal weights it up); 3 accessory movements behind the main lift, 7 accessory sets in the 10–20 range; drop set on the final set on Straight-Arm Pulldown
duration = 60 → intended: fill_the_requested_time_with_useful_work → realized: trimmed to fit: accessory_rest_shortened, set_removed; estimated 54.2 min for a 60-minute request
equipment = commercial_gym → intended: availability_only → realized: nothing (no claim made)
history = first session → intended: rotate_shape_and_movements_keep_the_main_lift → realized: nothing (no claim made)</t>
        </is>
      </c>
      <c r="S50" s="2" t="inlineStr">
        <is>
          <t>no State</t>
        </is>
      </c>
      <c r="T50" s="2" t="inlineStr">
        <is>
          <t>Chest-Supported Machine Row (4 × 6–8) leads as the main lift, then 2 strength lifts and 3 accessories, with part of it run as a superset.
19 working sets across 6 exercises, about 54 minutes.
Main work stops about 2 reps short of failure, accessories about 1 rep short of failure.
Intermediate difficulty: every movement is within the intermediate complexity and skill limits.
MOOD's Pick follows the rotation built for your goal to build muscle, at 3 to 4 days a week.</t>
        </is>
      </c>
      <c r="U50" s="2" t="n"/>
      <c r="V50" s="2" t="n"/>
    </row>
    <row r="51">
      <c r="A51" s="2" t="inlineStr">
        <is>
          <t>K. Sequential: same user, MOOD's Pick, no State (5 sessions)</t>
        </is>
      </c>
      <c r="B51" s="2" t="inlineStr">
        <is>
          <t>Session 2 (no State)</t>
        </is>
      </c>
      <c r="C51" s="2" t="inlineStr">
        <is>
          <t>seqB / 2026-11-12</t>
        </is>
      </c>
      <c r="D51" s="2" t="inlineStr">
        <is>
          <t>none</t>
        </is>
      </c>
      <c r="E51" s="2" t="inlineStr">
        <is>
          <t>intermediate</t>
        </is>
      </c>
      <c r="F51" s="2" t="inlineStr">
        <is>
          <t>Build muscle</t>
        </is>
      </c>
      <c r="G51" s="2" t="n">
        <v>60</v>
      </c>
      <c r="H51" s="2" t="inlineStr">
        <is>
          <t>MOOD's Pick</t>
        </is>
      </c>
      <c r="I51" s="2" t="inlineStr">
        <is>
          <t>none</t>
        </is>
      </c>
      <c r="J51" s="2" t="inlineStr">
        <is>
          <t>1 completed session(s); last: strength_upper_pull / Volume</t>
        </is>
      </c>
      <c r="K51" s="2" t="inlineStr">
        <is>
          <t>Lower Body: Squat</t>
        </is>
      </c>
      <c r="L51" s="2" t="inlineStr">
        <is>
          <t>Traditional</t>
        </is>
      </c>
      <c r="M51" s="2" t="n">
        <v>56.1</v>
      </c>
      <c r="N51" s="2" t="n">
        <v>20</v>
      </c>
      <c r="O51" s="2" t="inlineStr">
        <is>
          <t>slow_eccentric</t>
        </is>
      </c>
      <c r="P51" s="2" t="inlineStr">
        <is>
          <t>Barbell Back Squat: 4 × 5–7  RIR 2  rest 165 s
Leg Press: 4 × 8–10 · 3 s eccentric  RIR 2  (Take 3 s to lower every rep, then lift at normal speed. Stop each set with about 2 reps left in the tank.)  rest 120 s
Dumbbell Step-Up: 4 × 8–10/side  RIR 2  rest 120 s
Leg Extension: 4 × 10–12  RIR 1  rest 60 s
Roman Chair / GHD Glute-Ham Raise: 4 × 10–12  RIR 1  rest 60 s</t>
        </is>
      </c>
      <c r="Q51" s="2" t="inlineStr">
        <is>
          <t>As an intermediate lifter, 3 s eccentric on Leg Press is on the table, and your muscle goal is why 2 accessory movements sit behind the main lifts.</t>
        </is>
      </c>
      <c r="R51" s="2" t="inlineStr">
        <is>
          <t>experience = intermediate → intended: match_programming_vocabulary_to_level → realized: 3 s eccentric on Leg Press (intermediate and up); intermediate pool: Barbell Back Squat, Roman Chair / GHD Glute-Ham Raise
goal = build_muscle → intended: hypertrophy_volume_and_accessories → realized: 2 accessory movements behind the main lift, 8 accessory sets in the 10–20 range; 3 s eccentric on Leg Press
duration = 60 → intended: fill_the_requested_time_with_useful_work → realized: estimated 56.1 min for a 60-minute request
equipment = commercial_gym → intended: availability_only → realized: nothing (no claim made)
history = 1 completed Strength sessions → intended: rotate_shape_and_movements_keep_the_main_lift → realized: nothing (no claim made)</t>
        </is>
      </c>
      <c r="S51" s="2" t="inlineStr">
        <is>
          <t>no State</t>
        </is>
      </c>
      <c r="T51" s="2" t="inlineStr">
        <is>
          <t>You trained Upper Pull last time, so MOOD's Pick rotates to Lower Body: Squat today.
Barbell Back Squat (4 × 5–7) leads as the main lift, then 2 strength lifts and 2 accessories.
20 working sets across 5 exercises, about 56 minutes.
Main work stops about 2 reps short of failure, accessories about 1 rep short of failure.
Intermediate difficulty: every movement is within the intermediate complexity and skill limits.</t>
        </is>
      </c>
      <c r="U51" s="2" t="n"/>
      <c r="V51" s="2" t="n"/>
    </row>
    <row r="52">
      <c r="A52" s="2" t="inlineStr">
        <is>
          <t>K. Sequential: same user, MOOD's Pick, no State (5 sessions)</t>
        </is>
      </c>
      <c r="B52" s="2" t="inlineStr">
        <is>
          <t>Session 3 (no State)</t>
        </is>
      </c>
      <c r="C52" s="2" t="inlineStr">
        <is>
          <t>seqB / 2026-11-14</t>
        </is>
      </c>
      <c r="D52" s="2" t="inlineStr">
        <is>
          <t>none</t>
        </is>
      </c>
      <c r="E52" s="2" t="inlineStr">
        <is>
          <t>intermediate</t>
        </is>
      </c>
      <c r="F52" s="2" t="inlineStr">
        <is>
          <t>Build muscle</t>
        </is>
      </c>
      <c r="G52" s="2" t="n">
        <v>60</v>
      </c>
      <c r="H52" s="2" t="inlineStr">
        <is>
          <t>MOOD's Pick</t>
        </is>
      </c>
      <c r="I52" s="2" t="inlineStr">
        <is>
          <t>none</t>
        </is>
      </c>
      <c r="J52" s="2" t="inlineStr">
        <is>
          <t>2 completed session(s); last: strength_lower_squat / Traditional</t>
        </is>
      </c>
      <c r="K52" s="2" t="inlineStr">
        <is>
          <t>Upper Push</t>
        </is>
      </c>
      <c r="L52" s="2" t="inlineStr">
        <is>
          <t>Compound + Paired Accessories</t>
        </is>
      </c>
      <c r="M52" s="2" t="n">
        <v>59.3</v>
      </c>
      <c r="N52" s="2" t="n">
        <v>24</v>
      </c>
      <c r="O52" s="2" t="inlineStr"/>
      <c r="P52" s="2" t="inlineStr">
        <is>
          <t>Incline Dumbbell Press: 4 × 5–7  RIR 2  rest 180 s
Parallel Bar Dip: 4 × 8–10  RIR 2  rest 120 s
Standing Cable Chest Press: 4 × 8–10  RIR 2  rest 120 s
SUPERSET A (4 rounds, rest 60 s after each round)
  A1 Pec Deck: 4 × 12–15  RIR 1
  A2 Machine Triceps Extension: 4 × 12–15  RIR 1
EZ-Bar Skull Crusher: 4 × 12–15  RIR 1  rest 60 s</t>
        </is>
      </c>
      <c r="Q52" s="2" t="inlineStr">
        <is>
          <t>Your muscle goal is why 3 accessory movements sit behind the main lifts.</t>
        </is>
      </c>
      <c r="R52" s="2" t="inlineStr">
        <is>
          <t>experience = intermediate → intended: match_programming_vocabulary_to_level → realized: intermediate pool: Parallel Bar Dip
goal = build_muscle → intended: hypertrophy_volume_and_accessories → realized: Compound + Paired Accessories shape (muscle goal weights it up); 3 accessory movements behind the main lift, 12 accessory sets in the 10–20 range
duration = 60 → intended: fill_the_requested_time_with_useful_work → realized: estimated 59.3 min for a 60-minute request
equipment = commercial_gym → intended: availability_only → realized: nothing (no claim made)
history = 2 completed Strength sessions → intended: rotate_shape_and_movements_keep_the_main_lift → realized: nothing (no claim made)</t>
        </is>
      </c>
      <c r="S52" s="2" t="inlineStr">
        <is>
          <t>no State</t>
        </is>
      </c>
      <c r="T52" s="2" t="inlineStr">
        <is>
          <t>You trained Lower Body: Squat last time, so MOOD's Pick rotates to Upper Push today.
Incline Dumbbell Press (4 × 5–7) leads as the main lift, then 2 strength lifts and 3 accessories, with part of it run as a superset.
24 working sets across 6 exercises, about 59 minutes.
Main work stops about 2 reps short of failure, accessories about 1 rep short of failure.
Intermediate difficulty: every movement is within the intermediate complexity and skill limits.</t>
        </is>
      </c>
      <c r="U52" s="2" t="n"/>
      <c r="V52" s="2" t="n"/>
    </row>
    <row r="53">
      <c r="A53" s="2" t="inlineStr">
        <is>
          <t>K. Sequential: same user, MOOD's Pick, no State (5 sessions)</t>
        </is>
      </c>
      <c r="B53" s="2" t="inlineStr">
        <is>
          <t>Session 4 (no State)</t>
        </is>
      </c>
      <c r="C53" s="2" t="inlineStr">
        <is>
          <t>seqB / 2026-11-16</t>
        </is>
      </c>
      <c r="D53" s="2" t="inlineStr">
        <is>
          <t>none</t>
        </is>
      </c>
      <c r="E53" s="2" t="inlineStr">
        <is>
          <t>intermediate</t>
        </is>
      </c>
      <c r="F53" s="2" t="inlineStr">
        <is>
          <t>Build muscle</t>
        </is>
      </c>
      <c r="G53" s="2" t="n">
        <v>60</v>
      </c>
      <c r="H53" s="2" t="inlineStr">
        <is>
          <t>MOOD's Pick</t>
        </is>
      </c>
      <c r="I53" s="2" t="inlineStr">
        <is>
          <t>none</t>
        </is>
      </c>
      <c r="J53" s="2" t="inlineStr">
        <is>
          <t>3 completed session(s); last: strength_upper_push / Compound + Paired Accessories</t>
        </is>
      </c>
      <c r="K53" s="2" t="inlineStr">
        <is>
          <t>Glutes + Legs</t>
        </is>
      </c>
      <c r="L53" s="2" t="inlineStr">
        <is>
          <t>Traditional</t>
        </is>
      </c>
      <c r="M53" s="2" t="n">
        <v>57.8</v>
      </c>
      <c r="N53" s="2" t="n">
        <v>20</v>
      </c>
      <c r="O53" s="2" t="inlineStr">
        <is>
          <t>rest_pause</t>
        </is>
      </c>
      <c r="P53" s="2" t="inlineStr">
        <is>
          <t>Barbell Hip Thrust: 4 × 5–7  RIR 2  rest 165 s
Trap-Bar Deadlift: 4 × 8–10  RIR 2  rest 120 s
Reverse Lunge: 4 × 8–10/side  RIR 2  rest 120 s
Cable Glute Kickback: 4 × 10–12/side · rest-pause on the final set  RIR 1  (On the last set, hit the reps, rest 15 s, then add as many clean reps as you can. Stop each set with about 1 rep left in the tank.)  rest 60 s
Leg Extension: 4 × 10–12  RIR 1  rest 60 s</t>
        </is>
      </c>
      <c r="Q53" s="2" t="inlineStr">
        <is>
          <t>As an intermediate lifter, rest-pause on the final set on Cable Glute Kickback is on the table, and your muscle goal is why 2 accessory movements sit behind the main lifts.</t>
        </is>
      </c>
      <c r="R53" s="2" t="inlineStr">
        <is>
          <t>experience = intermediate → intended: match_programming_vocabulary_to_level → realized: rest-pause on the final set on Cable Glute Kickback (intermediate and up); intermediate pool: Trap-Bar Deadlift
goal = build_muscle → intended: hypertrophy_volume_and_accessories → realized: 2 accessory movements behind the main lift, 8 accessory sets in the 10–20 range; rest-pause on the final set on Cable Glute Kickback
duration = 60 → intended: fill_the_requested_time_with_useful_work → realized: trimmed to fit: finisher_dropped; estimated 57.8 min for a 60-minute request
equipment = commercial_gym → intended: availability_only → realized: nothing (no claim made)
history = 3 completed Strength sessions → intended: rotate_shape_and_movements_keep_the_main_lift → realized: nothing (no claim made)</t>
        </is>
      </c>
      <c r="S53" s="2" t="inlineStr">
        <is>
          <t>no State</t>
        </is>
      </c>
      <c r="T53" s="2" t="inlineStr">
        <is>
          <t>You trained Upper Push last time, so MOOD's Pick rotates to Glutes + Legs today.
Barbell Hip Thrust (4 × 5–7) leads as the main lift, then 2 strength lifts and 2 accessories.
20 working sets across 5 exercises, about 58 minutes.
Main work stops about 2 reps short of failure, accessories about 1 rep short of failure.
Intermediate difficulty: every movement is within the intermediate complexity and skill limits.</t>
        </is>
      </c>
      <c r="U53" s="2" t="n"/>
      <c r="V53" s="2" t="n"/>
    </row>
    <row r="54">
      <c r="A54" s="2" t="inlineStr">
        <is>
          <t>K. Sequential: same user, MOOD's Pick, no State (5 sessions)</t>
        </is>
      </c>
      <c r="B54" s="2" t="inlineStr">
        <is>
          <t>Session 5 (no State)</t>
        </is>
      </c>
      <c r="C54" s="2" t="inlineStr">
        <is>
          <t>seqB / 2026-11-18</t>
        </is>
      </c>
      <c r="D54" s="2" t="inlineStr">
        <is>
          <t>none</t>
        </is>
      </c>
      <c r="E54" s="2" t="inlineStr">
        <is>
          <t>intermediate</t>
        </is>
      </c>
      <c r="F54" s="2" t="inlineStr">
        <is>
          <t>Build muscle</t>
        </is>
      </c>
      <c r="G54" s="2" t="n">
        <v>60</v>
      </c>
      <c r="H54" s="2" t="inlineStr">
        <is>
          <t>MOOD's Pick</t>
        </is>
      </c>
      <c r="I54" s="2" t="inlineStr">
        <is>
          <t>none</t>
        </is>
      </c>
      <c r="J54" s="2" t="inlineStr">
        <is>
          <t>4 completed session(s); last: strength_glutes_legs / Traditional</t>
        </is>
      </c>
      <c r="K54" s="2" t="inlineStr">
        <is>
          <t>Upper Body</t>
        </is>
      </c>
      <c r="L54" s="2" t="inlineStr">
        <is>
          <t>Volume</t>
        </is>
      </c>
      <c r="M54" s="2" t="n">
        <v>53</v>
      </c>
      <c r="N54" s="2" t="n">
        <v>19</v>
      </c>
      <c r="O54" s="2" t="inlineStr"/>
      <c r="P54" s="2" t="inlineStr">
        <is>
          <t>Incline Dumbbell Press: 5 × 6–8  RIR 2  rest 150 s
Barbell Overhead Press: 4 × 10–12  RIR 2  rest 120 s
Lat Pulldown: 4 × 10–12  RIR 2  rest 120 s
SUPERSET A (3 rounds, rest 60 s after each round)
  A1 Machine Lateral Raise: 3 × 15–20  RIR 1
  A2 Dumbbell Pullover: 3 × 12–15  RIR 1</t>
        </is>
      </c>
      <c r="Q54" s="2" t="inlineStr">
        <is>
          <t>Your muscle goal is why 2 accessory movements sit behind the main lifts.</t>
        </is>
      </c>
      <c r="R54" s="2" t="inlineStr">
        <is>
          <t>experience = intermediate → intended: match_programming_vocabulary_to_level → realized: intermediate pool: Barbell Overhead Press
goal = build_muscle → intended: hypertrophy_volume_and_accessories → realized: Volume shape (muscle goal weights it up); 2 accessory movements behind the main lift, 6 accessory sets in the 10–20 range
duration = 60 → intended: fill_the_requested_time_with_useful_work → realized: filled toward the requested time: primary_set_added, set_added; estimated 53.0 min for a 60-minute request
equipment = commercial_gym → intended: availability_only → realized: nothing (no claim made)
history = 4 completed Strength sessions → intended: rotate_shape_and_movements_keep_the_main_lift → realized: nothing (no claim made)</t>
        </is>
      </c>
      <c r="S54" s="2" t="inlineStr">
        <is>
          <t>no State</t>
        </is>
      </c>
      <c r="T54" s="2" t="inlineStr">
        <is>
          <t>You trained Glutes + Legs last time, so MOOD's Pick rotates to Upper Body today.
Incline Dumbbell Press (5 × 6–8) leads as the main lift, then 2 strength lifts and 2 accessories, with part of it run as a superset.
19 working sets across 5 exercises, about 53 minutes.
Main work stops about 2 reps short of failure, accessories about 1 rep short of failure.
Intermediate difficulty: every movement is within the intermediate complexity and skill limits.</t>
        </is>
      </c>
      <c r="U54" s="2" t="n"/>
      <c r="V54" s="2" t="n"/>
    </row>
    <row r="55">
      <c r="A55" s="2" t="inlineStr">
        <is>
          <t>L. Sequential: same user, Lower Body: Squat, Bored every session, advanced (4 sessions)</t>
        </is>
      </c>
      <c r="B55" s="2" t="inlineStr">
        <is>
          <t>Session 1 (bored)</t>
        </is>
      </c>
      <c r="C55" s="2" t="inlineStr">
        <is>
          <t>seqC / 2026-11-10</t>
        </is>
      </c>
      <c r="D55" s="2" t="inlineStr">
        <is>
          <t>bored</t>
        </is>
      </c>
      <c r="E55" s="2" t="inlineStr">
        <is>
          <t>advanced</t>
        </is>
      </c>
      <c r="F55" s="2" t="inlineStr">
        <is>
          <t>Build muscle</t>
        </is>
      </c>
      <c r="G55" s="2" t="n">
        <v>60</v>
      </c>
      <c r="H55" s="2" t="inlineStr">
        <is>
          <t>Lower Body: Squat</t>
        </is>
      </c>
      <c r="I55" s="2" t="inlineStr">
        <is>
          <t>none</t>
        </is>
      </c>
      <c r="J55" s="2" t="inlineStr">
        <is>
          <t>first session</t>
        </is>
      </c>
      <c r="K55" s="2" t="inlineStr">
        <is>
          <t>Lower Body: Squat</t>
        </is>
      </c>
      <c r="L55" s="2" t="inlineStr">
        <is>
          <t>Compound + Paired Accessories</t>
        </is>
      </c>
      <c r="M55" s="2" t="n">
        <v>54.5</v>
      </c>
      <c r="N55" s="2" t="n">
        <v>20</v>
      </c>
      <c r="O55" s="2" t="inlineStr"/>
      <c r="P55" s="2" t="inlineStr">
        <is>
          <t>Barbell Back Squat: 4 × 5–7  RIR 1  rest 180 s
Leg Press: 4 × 8–10  RIR 2  rest 120 s
Curtsy Lunge: 4 × 8–10/side  RIR 2  rest 120 s
SUPERSET A (4 rounds, rest 60 s after each round)
  A1 Sissy Squat: 4 × 12–15  RIR 1
  A2 Roman Chair / GHD Glute-Ham Raise: 4 × 12–15  RIR 1</t>
        </is>
      </c>
      <c r="Q55" s="2" t="inlineStr">
        <is>
          <t>You're bored today, so we're bringing in 1 less-familiar movement and changing the shape of the session to Compound + Paired Accessories. Since you're an advanced lifter, Barbell Back Squat runs to a rep from failure, and your muscle goal is why 2 accessory movements sit behind the main lifts.</t>
        </is>
      </c>
      <c r="R55" s="2" t="inlineStr">
        <is>
          <t>state = bored (expression: new_exercises) → intended: refresh_the_experience → realized: Compound + Paired Accessories instead of Traditional; Bulgarian Split Squat → Curtsy Lunge
experience = advanced → intended: match_programming_vocabulary_to_level → realized: Barbell Back Squat runs to RIR 1 (advanced band position); higher-complexity movements kept in: Barbell Back Squat, Curtsy Lunge, Sissy Squat, Roman Chair / GHD Glute-Ham Raise
goal = build_muscle → intended: hypertrophy_volume_and_accessories → realized: Compound + Paired Accessories shape (muscle goal weights it up); 2 accessory movements behind the main lift, 8 accessory sets in the 10–20 range
duration = 60 → intended: fill_the_requested_time_with_useful_work → realized: estimated 54.5 min for a 60-minute request
equipment = commercial_gym → intended: availability_only → realized: nothing (no claim made)
history = first session → intended: rotate_shape_and_movements_keep_the_main_lift → realized: nothing (no claim made)</t>
        </is>
      </c>
      <c r="S55" s="2" t="inlineStr">
        <is>
          <t>bored: attempt 0 expression 'new_exercises' realized ['structure', 'exercises'] no-ops [] → satisfied</t>
        </is>
      </c>
      <c r="T55" s="2" t="inlineStr">
        <is>
          <t>Barbell Back Squat (4 × 5–7) leads as the main lift, then 2 strength lifts and 2 accessories, with part of it run as a superset.
20 working sets across 5 exercises, about 54 minutes.
Main work stops about 1 rep short of failure.
Advanced difficulty keeps the full exercise range open; today the best fits sit within it without needing the most complex options.
Your profile goal is to build muscle; today's Strength session is built from today's choices.</t>
        </is>
      </c>
      <c r="U55" s="2" t="n"/>
      <c r="V55" s="2" t="n"/>
    </row>
    <row r="56">
      <c r="A56" s="2" t="inlineStr">
        <is>
          <t>L. Sequential: same user, Lower Body: Squat, Bored every session, advanced (4 sessions)</t>
        </is>
      </c>
      <c r="B56" s="2" t="inlineStr">
        <is>
          <t>Session 2 (bored)</t>
        </is>
      </c>
      <c r="C56" s="2" t="inlineStr">
        <is>
          <t>seqC / 2026-11-12</t>
        </is>
      </c>
      <c r="D56" s="2" t="inlineStr">
        <is>
          <t>bored</t>
        </is>
      </c>
      <c r="E56" s="2" t="inlineStr">
        <is>
          <t>advanced</t>
        </is>
      </c>
      <c r="F56" s="2" t="inlineStr">
        <is>
          <t>Build muscle</t>
        </is>
      </c>
      <c r="G56" s="2" t="n">
        <v>60</v>
      </c>
      <c r="H56" s="2" t="inlineStr">
        <is>
          <t>Lower Body: Squat</t>
        </is>
      </c>
      <c r="I56" s="2" t="inlineStr">
        <is>
          <t>none</t>
        </is>
      </c>
      <c r="J56" s="2" t="inlineStr">
        <is>
          <t>1 completed session(s); last: strength_lower_squat / Compound + Paired Accessories</t>
        </is>
      </c>
      <c r="K56" s="2" t="inlineStr">
        <is>
          <t>Lower Body: Squat</t>
        </is>
      </c>
      <c r="L56" s="2" t="inlineStr">
        <is>
          <t>Heavy Primary</t>
        </is>
      </c>
      <c r="M56" s="2" t="n">
        <v>52.6</v>
      </c>
      <c r="N56" s="2" t="n">
        <v>17</v>
      </c>
      <c r="O56" s="2" t="inlineStr">
        <is>
          <t>one_and_half, rest_pause</t>
        </is>
      </c>
      <c r="P56" s="2" t="inlineStr">
        <is>
          <t>Barbell Back Squat: 5 × 4–6  RIR 1  rest 225 s
Leg Press: 4 × 8–10 · 1.5 reps  RIR 2  (Full rep, half rep from the stretched position, back to the top: that is one rep. Stop each set with about 2 reps left in the tank.)  rest 135 s
Reverse Nordic Curl: 4 × 12–15  RIR 1  rest 60 s
Roman Chair / GHD Glute-Ham Raise: 4 × 10–12 · rest-pause on the final set  RIR 1  (On the last set, hit the reps, rest 15 s, then add as many clean reps as you can. Stop each set with about 1 rep left in the tank.)  rest 60 s</t>
        </is>
      </c>
      <c r="Q56" s="2" t="inlineStr">
        <is>
          <t>You're bored today, so we're changing the feel with 1.5 reps on the Leg Press and bringing in 1 less-familiar movement. Since you're an advanced lifter, we're keeping rest-pause on the final set on Roman Chair / GHD Glute-Ham Raise in the mix, and your muscle goal is why 2 accessory movements sit behind the main lifts. Barbell Back Squat and Leg Press stay so your progression carries over, the session runs a different shape from last time and 1 movement is new versus your last one.</t>
        </is>
      </c>
      <c r="R56" s="2" t="inlineStr">
        <is>
          <t>state = bored (expression: new_structure) → intended: refresh_the_experience → realized: 1.5 reps on Leg Press; rest-pause on the final set on Roman Chair / GHD Glute-Ham Raise; Leg Extension → Reverse Nordic Curl
experience = advanced → intended: match_programming_vocabulary_to_level → realized: 1.5 reps on Leg Press; rest-pause on the final set on Roman Chair / GHD Glute-Ham Raise; Barbell Back Squat runs to RIR 1 (advanced band position); higher-complexity movements kept in: Barbell Back Squat, Roman Chair / GHD Glute-Ham Raise; Heavy Primary shape
goal = build_muscle → intended: hypertrophy_volume_and_accessories → realized: 2 accessory movements behind the main lift, 8 accessory sets in the 10–20 range; 1.5 reps on Leg Press; rest-pause on the final set on Roman Chair / GHD Glute-Ham Raise
duration = 60 → intended: fill_the_requested_time_with_useful_work → realized: filled toward the requested time: set_added; estimated 52.6 min for a 60-minute request
equipment = commercial_gym → intended: availability_only → realized: nothing (no claim made)
history = 1 completed Strength sessions → intended: rotate_shape_and_movements_keep_the_main_lift → realized: different shape from your last Lower Body: Squat (Compound + Paired Accessories then, Heavy Primary now); main lift continuity for progression: Barbell Back Squat, Leg Press; 1 movement not in your last Lower Body: Squat session; bored: expressed differently from last time (new_exercises then, new_structure now)</t>
        </is>
      </c>
      <c r="S56" s="2" t="inlineStr">
        <is>
          <t>bored: attempt 0 expression 'new_structure' realized ['set_method', 'set_method', 'exercises'] no-ops [] → satisfied</t>
        </is>
      </c>
      <c r="T56" s="2" t="inlineStr">
        <is>
          <t>Barbell Back Squat (5 × 4–6) leads as the main lift, then 1 strength lift and 2 accessories.
17 working sets across 4 exercises, about 53 minutes.
Main work stops about 1 rep short of failure.
Advanced difficulty keeps the full exercise range open; today the best fits sit within it without needing the most complex options.
Your profile goal is to build muscle; today's Strength session is built from today's choices.</t>
        </is>
      </c>
      <c r="U56" s="2" t="n"/>
      <c r="V56" s="2" t="n"/>
    </row>
    <row r="57">
      <c r="A57" s="2" t="inlineStr">
        <is>
          <t>L. Sequential: same user, Lower Body: Squat, Bored every session, advanced (4 sessions)</t>
        </is>
      </c>
      <c r="B57" s="2" t="inlineStr">
        <is>
          <t>Session 3 (bored)</t>
        </is>
      </c>
      <c r="C57" s="2" t="inlineStr">
        <is>
          <t>seqC / 2026-11-14</t>
        </is>
      </c>
      <c r="D57" s="2" t="inlineStr">
        <is>
          <t>bored</t>
        </is>
      </c>
      <c r="E57" s="2" t="inlineStr">
        <is>
          <t>advanced</t>
        </is>
      </c>
      <c r="F57" s="2" t="inlineStr">
        <is>
          <t>Build muscle</t>
        </is>
      </c>
      <c r="G57" s="2" t="n">
        <v>60</v>
      </c>
      <c r="H57" s="2" t="inlineStr">
        <is>
          <t>Lower Body: Squat</t>
        </is>
      </c>
      <c r="I57" s="2" t="inlineStr">
        <is>
          <t>none</t>
        </is>
      </c>
      <c r="J57" s="2" t="inlineStr">
        <is>
          <t>2 completed session(s); last: strength_lower_squat / Heavy Primary</t>
        </is>
      </c>
      <c r="K57" s="2" t="inlineStr">
        <is>
          <t>Lower Body: Squat</t>
        </is>
      </c>
      <c r="L57" s="2" t="inlineStr">
        <is>
          <t>Volume</t>
        </is>
      </c>
      <c r="M57" s="2" t="n">
        <v>58.6</v>
      </c>
      <c r="N57" s="2" t="n">
        <v>22</v>
      </c>
      <c r="O57" s="2" t="inlineStr">
        <is>
          <t>drop_set, slow_eccentric</t>
        </is>
      </c>
      <c r="P57" s="2" t="inlineStr">
        <is>
          <t>Barbell Back Squat: 4 × 5–7  RIR 2  rest 150 s
Leg Press: 4 × 10–12 · drop set on the final set  RIR 2  (On the last set, hit the reps, drop the load about 25% and go again to the same reps-in-reserve. Stop each set with about 2 reps left in the tank.)  rest 120 s
Front-Foot Elevated Split Squat: 4 × 10–12/side · 3 s eccentric  RIR 2  (Take 3 s to lower every rep, then lift at normal speed. Stop each set with about 2 reps left in the tank.)  rest 120 s
SUPERSET A (4 rounds, rest 60 s after each round)
  A1 Sissy Squat: 4 × 12–15  RIR 1
  A2 Roman Chair / GHD Glute-Ham Raise: 4 × 12–15  RIR 1
Frog Pump: 2 × 12–15  RIR 1  rest 45 s</t>
        </is>
      </c>
      <c r="Q57" s="2" t="inlineStr">
        <is>
          <t>You're bored today, so we're changing the feel with drop set on the final set on the Leg Press, bringing in 2 less-familiar movements and changing the shape of the session to Volume. Since you're an advanced lifter, we're keeping drop set on the final set on Leg Press and 3 s eccentric on Front-Foot Elevated Split Squat in the mix, and your muscle goal is why 3 accessory movements sit behind the main lifts. Barbell Back Squat and Leg Press stay so your progression carries over, the session runs a different shape from last time and 3 movements are new versus your last one.</t>
        </is>
      </c>
      <c r="R57" s="2" t="inlineStr">
        <is>
          <t>state = bored (expression: new_exercises) → intended: refresh_the_experience → realized: drop set on the final set on Leg Press; Volume instead of Traditional; Bulgarian Split Squat → Front-Foot Elevated Split Squat; Leg Extension → Sissy Squat
experience = advanced → intended: match_programming_vocabulary_to_level → realized: drop set on the final set on Leg Press; 3 s eccentric on Front-Foot Elevated Split Squat; higher-complexity movements kept in: Barbell Back Squat, Sissy Squat, Roman Chair / GHD Glute-Ham Raise
goal = build_muscle → intended: hypertrophy_volume_and_accessories → realized: Volume shape (muscle goal weights it up); 3 accessory movements behind the main lift, 10 accessory sets in the 10–20 range; drop set on the final set on Leg Press; 3 s eccentric on Front-Foot Elevated Split Squat
duration = 60 → intended: fill_the_requested_time_with_useful_work → realized: estimated 58.6 min for a 60-minute request
equipment = commercial_gym → intended: availability_only → realized: nothing (no claim made)
history = 2 completed Strength sessions → intended: rotate_shape_and_movements_keep_the_main_lift → realized: different shape from your last Lower Body: Squat (Heavy Primary then, Volume now); main lift continuity for progression: Barbell Back Squat, Leg Press; 3 movements not in your last Lower Body: Squat session; bored: expressed differently from last time (new_structure then, new_exercises now)</t>
        </is>
      </c>
      <c r="S57" s="2" t="inlineStr">
        <is>
          <t>bored: attempt 0 expression 'new_exercises' realized ['set_method', 'structure', 'exercises'] no-ops [] → satisfied</t>
        </is>
      </c>
      <c r="T57" s="2" t="inlineStr">
        <is>
          <t>Barbell Back Squat (4 × 5–7) leads as the main lift, then 2 strength lifts and 3 accessories, with part of it run as a superset.
22 working sets across 6 exercises, about 59 minutes.
Main work stops about 2 reps short of failure, accessories about 1 rep short of failure.
Advanced difficulty keeps the full exercise range open; today the best fits sit within it without needing the most complex options.
Your profile goal is to build muscle; today's Strength session is built from today's choices.</t>
        </is>
      </c>
      <c r="U57" s="2" t="n"/>
      <c r="V57" s="2" t="n"/>
    </row>
    <row r="58">
      <c r="A58" s="2" t="inlineStr">
        <is>
          <t>L. Sequential: same user, Lower Body: Squat, Bored every session, advanced (4 sessions)</t>
        </is>
      </c>
      <c r="B58" s="2" t="inlineStr">
        <is>
          <t>Session 4 (bored)</t>
        </is>
      </c>
      <c r="C58" s="2" t="inlineStr">
        <is>
          <t>seqC / 2026-11-16</t>
        </is>
      </c>
      <c r="D58" s="2" t="inlineStr">
        <is>
          <t>bored</t>
        </is>
      </c>
      <c r="E58" s="2" t="inlineStr">
        <is>
          <t>advanced</t>
        </is>
      </c>
      <c r="F58" s="2" t="inlineStr">
        <is>
          <t>Build muscle</t>
        </is>
      </c>
      <c r="G58" s="2" t="n">
        <v>60</v>
      </c>
      <c r="H58" s="2" t="inlineStr">
        <is>
          <t>Lower Body: Squat</t>
        </is>
      </c>
      <c r="I58" s="2" t="inlineStr">
        <is>
          <t>none</t>
        </is>
      </c>
      <c r="J58" s="2" t="inlineStr">
        <is>
          <t>3 completed session(s); last: strength_lower_squat / Volume</t>
        </is>
      </c>
      <c r="K58" s="2" t="inlineStr">
        <is>
          <t>Lower Body: Squat</t>
        </is>
      </c>
      <c r="L58" s="2" t="inlineStr">
        <is>
          <t>Compound + Paired Accessories</t>
        </is>
      </c>
      <c r="M58" s="2" t="n">
        <v>58.4</v>
      </c>
      <c r="N58" s="2" t="n">
        <v>20</v>
      </c>
      <c r="O58" s="2" t="inlineStr">
        <is>
          <t>drop_set, slow_eccentric</t>
        </is>
      </c>
      <c r="P58" s="2" t="inlineStr">
        <is>
          <t>Barbell Back Squat: 4 × 5–7  RIR 1  rest 180 s
Leg Press: 4 × 8–10 · drop set on the final set  RIR 2  (On the last set, hit the reps, drop the load about 25% and go again to the same reps-in-reserve. Stop each set with about 2 reps left in the tank.)  rest 120 s
Curtsy Lunge: 4 × 8–10/side · 3 s eccentric  RIR 2  (Take 3 s to lower every rep, then lift at normal speed. Stop each set with about 2 reps left in the tank.)  rest 120 s
Leg Extension: 4 × 12–15  RIR 1  rest 60 s
Roman Chair / GHD Glute-Ham Raise: 4 × 12–15  RIR 1  rest 60 s</t>
        </is>
      </c>
      <c r="Q58" s="2" t="inlineStr">
        <is>
          <t>You're bored today, so we're changing the feel with drop set on the final set on the Leg Press, bringing in 1 less-familiar movement and changing the shape of the session to Compound + Paired Accessories. Since you're an advanced lifter, we're keeping drop set on the final set on Leg Press and 3 s eccentric on Curtsy Lunge in the mix, and your muscle goal is why 2 accessory movements sit behind the main lifts. Barbell Back Squat and Leg Press stay so your progression carries over, the session runs a different shape from last time and 2 movements are new versus your last one.</t>
        </is>
      </c>
      <c r="R58" s="2" t="inlineStr">
        <is>
          <t>state = bored (expression: fresh_finish) → intended: refresh_the_experience → realized: drop set on the final set on Leg Press; Compound + Paired Accessories instead of Traditional; Lateral Step-Up → Curtsy Lunge
experience = advanced → intended: match_programming_vocabulary_to_level → realized: drop set on the final set on Leg Press; 3 s eccentric on Curtsy Lunge; Barbell Back Squat runs to RIR 1 (advanced band position); higher-complexity movements kept in: Barbell Back Squat, Curtsy Lunge, Roman Chair / GHD Glute-Ham Raise
goal = build_muscle → intended: hypertrophy_volume_and_accessories → realized: Compound + Paired Accessories shape (muscle goal weights it up); 2 accessory movements behind the main lift, 8 accessory sets in the 10–20 range; drop set on the final set on Leg Press; 3 s eccentric on Curtsy Lunge
duration = 60 → intended: fill_the_requested_time_with_useful_work → realized: estimated 58.4 min for a 60-minute request
equipment = commercial_gym → intended: availability_only → realized: nothing (no claim made)
history = 3 completed Strength sessions → intended: rotate_shape_and_movements_keep_the_main_lift → realized: different shape from your last Lower Body: Squat (Volume then, Compound + Paired Accessories now); main lift continuity for progression: Barbell Back Squat, Leg Press; 2 movements not in your last Lower Body: Squat session; bored: expressed differently from last time (new_exercises then, fresh_finish now)</t>
        </is>
      </c>
      <c r="S58" s="2" t="inlineStr">
        <is>
          <t>bored: attempt 0 expression 'fresh_finish' realized ['set_method', 'structure', 'exercises'] no-ops [] → satisfied</t>
        </is>
      </c>
      <c r="T58" s="2" t="inlineStr">
        <is>
          <t>Barbell Back Squat (4 × 5–7) leads as the main lift, then 2 strength lifts and 2 accessories.
20 working sets across 5 exercises, about 58 minutes.
Main work stops about 1 rep short of failure.
Advanced difficulty keeps the full exercise range open; today the best fits sit within it without needing the most complex options.
Your profile goal is to build muscle; today's Strength session is built from today's choices.</t>
        </is>
      </c>
      <c r="U58" s="2" t="n"/>
      <c r="V58" s="2" t="n"/>
    </row>
    <row r="59">
      <c r="A59" s="2" t="inlineStr">
        <is>
          <t>M. Sequential: same user, mixed States, Upper Push (6 sessions)</t>
        </is>
      </c>
      <c r="B59" s="2" t="inlineStr">
        <is>
          <t>Session 1 (no State)</t>
        </is>
      </c>
      <c r="C59" s="2" t="inlineStr">
        <is>
          <t>seqD / 2026-11-10</t>
        </is>
      </c>
      <c r="D59" s="2" t="inlineStr">
        <is>
          <t>none</t>
        </is>
      </c>
      <c r="E59" s="2" t="inlineStr">
        <is>
          <t>intermediate</t>
        </is>
      </c>
      <c r="F59" s="2" t="inlineStr">
        <is>
          <t>Build muscle</t>
        </is>
      </c>
      <c r="G59" s="2" t="n">
        <v>60</v>
      </c>
      <c r="H59" s="2" t="inlineStr">
        <is>
          <t>Upper Push</t>
        </is>
      </c>
      <c r="I59" s="2" t="inlineStr">
        <is>
          <t>none</t>
        </is>
      </c>
      <c r="J59" s="2" t="inlineStr">
        <is>
          <t>first session</t>
        </is>
      </c>
      <c r="K59" s="2" t="inlineStr">
        <is>
          <t>Upper Push</t>
        </is>
      </c>
      <c r="L59" s="2" t="inlineStr">
        <is>
          <t>Heavy Primary</t>
        </is>
      </c>
      <c r="M59" s="2" t="n">
        <v>58.7</v>
      </c>
      <c r="N59" s="2" t="n">
        <v>19</v>
      </c>
      <c r="O59" s="2" t="inlineStr"/>
      <c r="P59" s="2" t="inlineStr">
        <is>
          <t>Barbell Bench Press: 5 × 4–6  RIR 2  rest 225 s
Parallel Bar Dip: 4 × 8–10  RIR 2  rest 135 s
Plate-Loaded Incline Press: 4 × 8–10  RIR 2  rest 135 s
Cable Fly: 3 × 10–12  RIR 1  rest 60 s
Dumbbell Skull Crusher: 3 × 10–12  RIR 1  rest 60 s</t>
        </is>
      </c>
      <c r="Q59" s="2" t="inlineStr">
        <is>
          <t>Your muscle goal is why 2 accessory movements sit behind the main lifts.</t>
        </is>
      </c>
      <c r="R59" s="2" t="inlineStr">
        <is>
          <t>experience = intermediate → intended: match_programming_vocabulary_to_level → realized: intermediate pool: Barbell Bench Press, Parallel Bar Dip
goal = build_muscle → intended: hypertrophy_volume_and_accessories → realized: 2 accessory movements behind the main lift, 6 accessory sets in the 10–20 range
duration = 60 → intended: fill_the_requested_time_with_useful_work → realized: estimated 58.7 min for a 60-minute request
equipment = commercial_gym → intended: availability_only → realized: nothing (no claim made)
history = first session → intended: rotate_shape_and_movements_keep_the_main_lift → realized: nothing (no claim made)</t>
        </is>
      </c>
      <c r="S59" s="2" t="inlineStr">
        <is>
          <t>no State</t>
        </is>
      </c>
      <c r="T59" s="2" t="inlineStr">
        <is>
          <t>Barbell Bench Press (5 × 4–6) leads as the main lift, then 2 strength lifts and 2 accessories.
19 working sets across 5 exercises, about 59 minutes.
Main work stops about 2 reps short of failure, accessories about 1 rep short of failure.
Intermediate difficulty: every movement is within the intermediate complexity and skill limits.
Your profile goal is to build muscle; today's Strength session is built from today's choices.</t>
        </is>
      </c>
      <c r="U59" s="2" t="n"/>
      <c r="V59" s="2" t="n"/>
    </row>
    <row r="60">
      <c r="A60" s="2" t="inlineStr">
        <is>
          <t>M. Sequential: same user, mixed States, Upper Push (6 sessions)</t>
        </is>
      </c>
      <c r="B60" s="2" t="inlineStr">
        <is>
          <t>Session 2 (stressed)</t>
        </is>
      </c>
      <c r="C60" s="2" t="inlineStr">
        <is>
          <t>seqD / 2026-11-12</t>
        </is>
      </c>
      <c r="D60" s="2" t="inlineStr">
        <is>
          <t>stressed</t>
        </is>
      </c>
      <c r="E60" s="2" t="inlineStr">
        <is>
          <t>intermediate</t>
        </is>
      </c>
      <c r="F60" s="2" t="inlineStr">
        <is>
          <t>Build muscle</t>
        </is>
      </c>
      <c r="G60" s="2" t="n">
        <v>60</v>
      </c>
      <c r="H60" s="2" t="inlineStr">
        <is>
          <t>Upper Push</t>
        </is>
      </c>
      <c r="I60" s="2" t="inlineStr">
        <is>
          <t>none</t>
        </is>
      </c>
      <c r="J60" s="2" t="inlineStr">
        <is>
          <t>1 completed session(s); last: strength_upper_push / Heavy Primary</t>
        </is>
      </c>
      <c r="K60" s="2" t="inlineStr">
        <is>
          <t>Upper Push</t>
        </is>
      </c>
      <c r="L60" s="2" t="inlineStr">
        <is>
          <t>Compound + Paired Accessories</t>
        </is>
      </c>
      <c r="M60" s="2" t="n">
        <v>52.4</v>
      </c>
      <c r="N60" s="2" t="n">
        <v>20</v>
      </c>
      <c r="O60" s="2" t="inlineStr"/>
      <c r="P60" s="2" t="inlineStr">
        <is>
          <t>Barbell Bench Press: 4 × 5–7  RIR 2  rest 180 s
Parallel Bar Dip: 4 × 8–10  RIR 2  rest 120 s
Smith Machine Incline Press: 4 × 8–10  RIR 2  rest 120 s
SUPERSET A (4 rounds, rest 60 s after each round)
  A1 Pec Deck: 4 × 12–15  RIR 1
  A2 Dumbbell Overhead Triceps Extension: 4 × 12–15  RIR 1</t>
        </is>
      </c>
      <c r="Q60" s="2" t="inlineStr">
        <is>
          <t>You're stressed today, so we're setting up one thing fewer and sticking to familiar movements you can run on autopilot. Your muscle goal is why 2 accessory movements sit behind the main lifts. Barbell Bench Press and Parallel Bar Dip stay so your progression carries over, the session runs a different shape from last time and 3 movements are new versus your last one.</t>
        </is>
      </c>
      <c r="R60" s="2" t="inlineStr">
        <is>
          <t>state = stressed (expression: simpler) → intended: reduce_cognitive_load → realized: left out Machine Triceps Extension; Low-to-High Cable Fly → Pec Deck
experience = intermediate → intended: match_programming_vocabulary_to_level → realized: intermediate pool: Barbell Bench Press, Parallel Bar Dip
goal = build_muscle → intended: hypertrophy_volume_and_accessories → realized: Compound + Paired Accessories shape (muscle goal weights it up); 2 accessory movements behind the main lift, 8 accessory sets in the 10–20 range
duration = 60 → intended: fill_the_requested_time_with_useful_work → realized: estimated 52.4 min for a 60-minute request
equipment = commercial_gym → intended: availability_only → realized: nothing (no claim made)
history = 1 completed Strength sessions → intended: rotate_shape_and_movements_keep_the_main_lift → realized: different shape from your last Upper Push (Heavy Primary then, Compound + Paired Accessories now); main lift continuity for progression: Barbell Bench Press, Parallel Bar Dip; 3 movements not in your last Upper Push session</t>
        </is>
      </c>
      <c r="S60" s="2" t="inlineStr">
        <is>
          <t>stressed: attempt 0 expression 'simpler' realized ['slot_removed', 'exercises'] no-ops [] → satisfied</t>
        </is>
      </c>
      <c r="T60" s="2" t="inlineStr">
        <is>
          <t>Barbell Bench Press (4 × 5–7) leads as the main lift, then 2 strength lifts and 2 accessories, with part of it run as a superset.
20 working sets across 5 exercises, about 52 minutes.
Main work stops about 2 reps short of failure, accessories about 1 rep short of failure.
Intermediate difficulty: every movement is within the intermediate complexity and skill limits.
Your profile goal is to build muscle; today's Strength session is built from today's choices.</t>
        </is>
      </c>
      <c r="U60" s="2" t="n"/>
      <c r="V60" s="2" t="n"/>
    </row>
    <row r="61">
      <c r="A61" s="2" t="inlineStr">
        <is>
          <t>M. Sequential: same user, mixed States, Upper Push (6 sessions)</t>
        </is>
      </c>
      <c r="B61" s="2" t="inlineStr">
        <is>
          <t>Session 3 (amped)</t>
        </is>
      </c>
      <c r="C61" s="2" t="inlineStr">
        <is>
          <t>seqD / 2026-11-14</t>
        </is>
      </c>
      <c r="D61" s="2" t="inlineStr">
        <is>
          <t>amped</t>
        </is>
      </c>
      <c r="E61" s="2" t="inlineStr">
        <is>
          <t>intermediate</t>
        </is>
      </c>
      <c r="F61" s="2" t="inlineStr">
        <is>
          <t>Build muscle</t>
        </is>
      </c>
      <c r="G61" s="2" t="n">
        <v>60</v>
      </c>
      <c r="H61" s="2" t="inlineStr">
        <is>
          <t>Upper Push</t>
        </is>
      </c>
      <c r="I61" s="2" t="inlineStr">
        <is>
          <t>none</t>
        </is>
      </c>
      <c r="J61" s="2" t="inlineStr">
        <is>
          <t>2 completed session(s); last: strength_upper_push / Compound + Paired Accessories</t>
        </is>
      </c>
      <c r="K61" s="2" t="inlineStr">
        <is>
          <t>Upper Push</t>
        </is>
      </c>
      <c r="L61" s="2" t="inlineStr">
        <is>
          <t>Volume</t>
        </is>
      </c>
      <c r="M61" s="2" t="n">
        <v>57</v>
      </c>
      <c r="N61" s="2" t="n">
        <v>20</v>
      </c>
      <c r="O61" s="2" t="inlineStr">
        <is>
          <t>pause</t>
        </is>
      </c>
      <c r="P61" s="2" t="inlineStr">
        <is>
          <t>Barbell Bench Press: 5 × 5–7 · paused reps  RIR 2  (Pause 2 s at the hardest point of every rep, then drive out of it. Stop each set with about 2 reps left in the tank.)  rest 150 s
Parallel Bar Dip: 4 × 10–12  RIR 2  rest 120 s
Plate-Loaded Incline Press: 4 × 10–12  RIR 2  rest 120 s
SUPERSET A (2 rounds, rest 60 s after each round)
  A1 Dumbbell Fly: 2 × 12–15  RIR 1
  A2 Machine Triceps Extension: 2 × 12–15  RIR 1
Cross-Body Cable Triceps Extension: 3 × 12–15/side  RIR 1  rest 60 s</t>
        </is>
      </c>
      <c r="Q61" s="2" t="inlineStr">
        <is>
          <t>You're amped today, so we're adding a working set to Barbell Bench Press. As an intermediate lifter, paused reps on Barbell Bench Press is on the table, and your muscle goal is why 3 accessory movements sit behind the main lifts. Barbell Bench Press and Parallel Bar Dip stay so your progression carries over, the session runs a different shape from last time and 4 movements are new versus your last one.</t>
        </is>
      </c>
      <c r="R61" s="2" t="inlineStr">
        <is>
          <t>state = amped (expression: extra_set_paired) → intended: use_readiness_productively → realized: Barbell Bench Press 4→5 sets
experience = intermediate → intended: match_programming_vocabulary_to_level → realized: paused reps on Barbell Bench Press (intermediate and up); intermediate pool: Barbell Bench Press, Parallel Bar Dip
goal = build_muscle → intended: hypertrophy_volume_and_accessories → realized: Volume shape (muscle goal weights it up); 3 accessory movements behind the main lift, 7 accessory sets in the 10–20 range
duration = 60 → intended: fill_the_requested_time_with_useful_work → realized: trimmed to fit: accessory_rest_shortened, set_removed; estimated 57.0 min for a 60-minute request
equipment = commercial_gym → intended: availability_only → realized: nothing (no claim made)
history = 2 completed Strength sessions → intended: rotate_shape_and_movements_keep_the_main_lift → realized: different shape from your last Upper Push (Compound + Paired Accessories then, Volume now); main lift continuity for progression: Barbell Bench Press, Parallel Bar Dip; 4 movements not in your last Upper Push session</t>
        </is>
      </c>
      <c r="S61" s="2" t="inlineStr">
        <is>
          <t>amped: attempt 0 expression 'extra_set_paired' realized ['volume'] no-ops [] → satisfied</t>
        </is>
      </c>
      <c r="T61" s="2" t="inlineStr">
        <is>
          <t>Barbell Bench Press (5 × 5–7 · paused reps) leads as the main lift, then 2 strength lifts and 3 accessories, with part of it run as a superset.
20 working sets across 6 exercises, about 57 minutes.
Main work stops about 2 reps short of failure, accessories about 1 rep short of failure.
Intermediate difficulty: every movement is within the intermediate complexity and skill limits.
Your profile goal is to build muscle; today's Strength session is built from today's choices.</t>
        </is>
      </c>
      <c r="U61" s="2" t="n"/>
      <c r="V61" s="2" t="n"/>
    </row>
    <row r="62">
      <c r="A62" s="2" t="inlineStr">
        <is>
          <t>M. Sequential: same user, mixed States, Upper Push (6 sessions)</t>
        </is>
      </c>
      <c r="B62" s="2" t="inlineStr">
        <is>
          <t>Session 4 (low_energy)</t>
        </is>
      </c>
      <c r="C62" s="2" t="inlineStr">
        <is>
          <t>seqD / 2026-11-16</t>
        </is>
      </c>
      <c r="D62" s="2" t="inlineStr">
        <is>
          <t>low_energy</t>
        </is>
      </c>
      <c r="E62" s="2" t="inlineStr">
        <is>
          <t>intermediate</t>
        </is>
      </c>
      <c r="F62" s="2" t="inlineStr">
        <is>
          <t>Build muscle</t>
        </is>
      </c>
      <c r="G62" s="2" t="n">
        <v>60</v>
      </c>
      <c r="H62" s="2" t="inlineStr">
        <is>
          <t>Upper Push</t>
        </is>
      </c>
      <c r="I62" s="2" t="inlineStr">
        <is>
          <t>none</t>
        </is>
      </c>
      <c r="J62" s="2" t="inlineStr">
        <is>
          <t>3 completed session(s); last: strength_upper_push / Volume</t>
        </is>
      </c>
      <c r="K62" s="2" t="inlineStr">
        <is>
          <t>Upper Push</t>
        </is>
      </c>
      <c r="L62" s="2" t="inlineStr">
        <is>
          <t>Traditional</t>
        </is>
      </c>
      <c r="M62" s="2" t="n">
        <v>57.6</v>
      </c>
      <c r="N62" s="2" t="n">
        <v>23</v>
      </c>
      <c r="O62" s="2" t="inlineStr">
        <is>
          <t>slow_eccentric</t>
        </is>
      </c>
      <c r="P62" s="2" t="inlineStr">
        <is>
          <t>Barbell Bench Press: 4 × 5–7  RIR 3  (Stop each set with about 3 reps left in the tank.)  rest 165 s
Parallel Bar Dip: 4 × 8–10 · 3 s eccentric  RIR 3  (Take 3 s to lower every rep, then lift at normal speed. Stop each set with about 3 reps left in the tank.)  rest 120 s
Smith Machine Incline Press: 4 × 8–10  RIR 3  (Stop each set with about 3 reps left in the tank.)  rest 120 s
SUPERSET A (4 rounds, rest 60 s after each round)
  A1 Cable Fly: 4 × 10–12  RIR 2
  A2 Dumbbell Skull Crusher: 4 × 10–12  RIR 2
Single-Arm Cable Triceps Extension: 3 × 10–12/side  RIR 2  rest 60 s</t>
        </is>
      </c>
      <c r="Q62" s="2" t="inlineStr">
        <is>
          <t>You're low on energy today, so we're keeping you further from failure on every set, trimming a little accessory volume and slowing the eccentric on Parallel Bar Dip instead of adding load. As an intermediate lifter, 3 s eccentric on Parallel Bar Dip is on the table, and your muscle goal is why 3 accessory movements sit behind the main lifts. Barbell Bench Press and Parallel Bar Dip stay so your progression carries over, the session runs a different shape from last time and 4 movements are new versus your last one.</t>
        </is>
      </c>
      <c r="R62" s="2" t="inlineStr">
        <is>
          <t>state = low_energy (expression: cost_down) → intended: reduce_training_cost → realized: Barbell Bench Press RIR 2→3; Parallel Bar Dip RIR 2→3; Smith Machine Incline Press RIR 2→3; Cable Fly RIR 1→2; Dumbbell Skull Crusher RIR 1→2; Single-Arm Cable Triceps Extension RIR 1→2; Single-Arm Cable Triceps Extension 4→3 sets; Dumbbell Skull Crusher 4→3 sets; 3 s eccentric on Parallel Bar Dip
experience = intermediate → intended: match_programming_vocabulary_to_level → realized: 3 s eccentric on Parallel Bar Dip (intermediate and up); intermediate pool: Barbell Bench Press, Parallel Bar Dip
goal = build_muscle → intended: hypertrophy_volume_and_accessories → realized: 3 accessory movements behind the main lift, 11 accessory sets in the 10–20 range; 3 s eccentric on Parallel Bar Dip
duration = 60 → intended: fill_the_requested_time_with_useful_work → realized: estimated 57.6 min for a 60-minute request
equipment = commercial_gym → intended: availability_only → realized: nothing (no claim made)
history = 3 completed Strength sessions → intended: rotate_shape_and_movements_keep_the_main_lift → realized: different shape from your last Upper Push (Volume then, Traditional now); main lift continuity for progression: Barbell Bench Press, Parallel Bar Dip; 4 movements not in your last Upper Push session</t>
        </is>
      </c>
      <c r="S62" s="2" t="inlineStr">
        <is>
          <t>low_energy: attempt 0 expression 'cost_down' realized ['rir', 'volume', 'set_method'] no-ops [] → satisfied</t>
        </is>
      </c>
      <c r="T62" s="2" t="inlineStr">
        <is>
          <t>Barbell Bench Press (4 × 5–7) leads as the main lift, then 2 strength lifts and 3 accessories, with part of it run as a superset.
23 working sets across 6 exercises, about 58 minutes.
Main work stops about 3 reps short of failure, accessories about 2 reps short of failure.
Intermediate difficulty: every movement is within the intermediate complexity and skill limits.
Your profile goal is to build muscle; today's Strength session is built from today's choices.</t>
        </is>
      </c>
      <c r="U62" s="2" t="n"/>
      <c r="V62" s="2" t="n"/>
    </row>
    <row r="63">
      <c r="A63" s="2" t="inlineStr">
        <is>
          <t>M. Sequential: same user, mixed States, Upper Push (6 sessions)</t>
        </is>
      </c>
      <c r="B63" s="2" t="inlineStr">
        <is>
          <t>Session 5 (bored)</t>
        </is>
      </c>
      <c r="C63" s="2" t="inlineStr">
        <is>
          <t>seqD / 2026-11-18</t>
        </is>
      </c>
      <c r="D63" s="2" t="inlineStr">
        <is>
          <t>bored</t>
        </is>
      </c>
      <c r="E63" s="2" t="inlineStr">
        <is>
          <t>intermediate</t>
        </is>
      </c>
      <c r="F63" s="2" t="inlineStr">
        <is>
          <t>Build muscle</t>
        </is>
      </c>
      <c r="G63" s="2" t="n">
        <v>60</v>
      </c>
      <c r="H63" s="2" t="inlineStr">
        <is>
          <t>Upper Push</t>
        </is>
      </c>
      <c r="I63" s="2" t="inlineStr">
        <is>
          <t>none</t>
        </is>
      </c>
      <c r="J63" s="2" t="inlineStr">
        <is>
          <t>4 completed session(s); last: strength_upper_push / Traditional</t>
        </is>
      </c>
      <c r="K63" s="2" t="inlineStr">
        <is>
          <t>Upper Push</t>
        </is>
      </c>
      <c r="L63" s="2" t="inlineStr">
        <is>
          <t>Top Set + Back-off</t>
        </is>
      </c>
      <c r="M63" s="2" t="n">
        <v>59.8</v>
      </c>
      <c r="N63" s="2" t="n">
        <v>21</v>
      </c>
      <c r="O63" s="2" t="inlineStr">
        <is>
          <t>one_and_half</t>
        </is>
      </c>
      <c r="P63" s="2" t="inlineStr">
        <is>
          <t>Barbell Bench Press: 4 sets: 4/7/7/7  RIR 2  (Top set heavy, then back off 10–15% for the remaining sets. Stop each set with about 2 reps left in the tank.)  rest 225 s
Parallel Bar Dip: 4 × 8–10  RIR 2  rest 135 s
Plate-Loaded Incline Press: 4 × 8–10 · 1.5 reps  RIR 2  (Full rep, half rep from the stretched position, back to the top: that is one rep. Stop each set with about 2 reps left in the tank.)  rest 135 s
SUPERSET A (3 rounds, rest 60 s after each round)
  A1 EZ-Bar Skull Crusher: 3 × 10–12  RIR 1
  A2 Low-to-High Cable Fly: 3 × 10–12  RIR 1
Cable Triceps Kickback: 3 × 10–12/side  RIR 1  rest 60 s</t>
        </is>
      </c>
      <c r="Q63" s="2" t="inlineStr">
        <is>
          <t>You're bored today, so we're changing the feel with 1.5 reps on the Plate-Loaded Incline Press and bringing in 1 less-familiar movement. As an intermediate lifter, the top-set scheme is in play, and your muscle goal is why 3 accessory movements sit behind the main lifts. Barbell Bench Press and Parallel Bar Dip stay so your progression carries over, the session runs a different shape from last time and 4 movements are new versus your last one.</t>
        </is>
      </c>
      <c r="R63" s="2" t="inlineStr">
        <is>
          <t>state = bored (expression: new_structure) → intended: refresh_the_experience → realized: 1.5 reps on Plate-Loaded Incline Press; Cable Triceps Pressdown → Cable Triceps Kickback
experience = intermediate → intended: match_programming_vocabulary_to_level → realized: Top Set + Back-off (intermediate and up); 1.5 reps on Plate-Loaded Incline Press (intermediate and up); intermediate pool: Barbell Bench Press, Parallel Bar Dip
goal = build_muscle → intended: hypertrophy_volume_and_accessories → realized: 3 accessory movements behind the main lift, 9 accessory sets in the 10–20 range; 1.5 reps on Plate-Loaded Incline Press
duration = 60 → intended: fill_the_requested_time_with_useful_work → realized: estimated 59.8 min for a 60-minute request
equipment = commercial_gym → intended: availability_only → realized: nothing (no claim made)
history = 4 completed Strength sessions → intended: rotate_shape_and_movements_keep_the_main_lift → realized: different shape from your last Upper Push (Traditional then, Top Set + Back-off now); main lift continuity for progression: Barbell Bench Press, Parallel Bar Dip; 4 movements not in your last Upper Push session</t>
        </is>
      </c>
      <c r="S63" s="2" t="inlineStr">
        <is>
          <t>bored: attempt 0 expression 'new_structure' realized ['set_method', 'exercises'] no-ops [] → satisfied</t>
        </is>
      </c>
      <c r="T63" s="2" t="inlineStr">
        <is>
          <t>Barbell Bench Press (4 sets: 4/7/7/7) leads as the main lift, then 2 strength lifts and 3 accessories, with part of it run as a superset.
21 working sets across 6 exercises, about 60 minutes.
Main work stops about 2 reps short of failure, accessories about 1 rep short of failure.
Intermediate difficulty: every movement is within the intermediate complexity and skill limits.
Your profile goal is to build muscle; today's Strength session is built from today's choices.</t>
        </is>
      </c>
      <c r="U63" s="2" t="n"/>
      <c r="V63" s="2" t="n"/>
    </row>
    <row r="64">
      <c r="A64" s="2" t="inlineStr">
        <is>
          <t>M. Sequential: same user, mixed States, Upper Push (6 sessions)</t>
        </is>
      </c>
      <c r="B64" s="2" t="inlineStr">
        <is>
          <t>Session 6 (irritated)</t>
        </is>
      </c>
      <c r="C64" s="2" t="inlineStr">
        <is>
          <t>seqD / 2026-11-20</t>
        </is>
      </c>
      <c r="D64" s="2" t="inlineStr">
        <is>
          <t>irritated</t>
        </is>
      </c>
      <c r="E64" s="2" t="inlineStr">
        <is>
          <t>intermediate</t>
        </is>
      </c>
      <c r="F64" s="2" t="inlineStr">
        <is>
          <t>Build muscle</t>
        </is>
      </c>
      <c r="G64" s="2" t="n">
        <v>60</v>
      </c>
      <c r="H64" s="2" t="inlineStr">
        <is>
          <t>Upper Push</t>
        </is>
      </c>
      <c r="I64" s="2" t="inlineStr">
        <is>
          <t>none</t>
        </is>
      </c>
      <c r="J64" s="2" t="inlineStr">
        <is>
          <t>5 completed session(s); last: strength_upper_push / Top Set + Back-off</t>
        </is>
      </c>
      <c r="K64" s="2" t="inlineStr">
        <is>
          <t>Upper Push</t>
        </is>
      </c>
      <c r="L64" s="2" t="inlineStr">
        <is>
          <t>Heavy Primary</t>
        </is>
      </c>
      <c r="M64" s="2" t="n">
        <v>57.5</v>
      </c>
      <c r="N64" s="2" t="n">
        <v>17</v>
      </c>
      <c r="O64" s="2" t="inlineStr"/>
      <c r="P64" s="2" t="inlineStr">
        <is>
          <t>Barbell Bench Press: 5 × 4–6  RIR 2  (Move the bar with intent: controlled down, drive up as fast as it will go. Stop each set with about 2 reps left in the tank.)  rest 240 s
Parallel Bar Dip: 4 × 8–10  RIR 2  rest 150 s
Smith Machine Incline Press: 4 × 8–10  RIR 2  rest 150 s
Pec Deck: 2 × 10–12  RIR 1  rest 45 s
Cable Triceps Pressdown: 2 × 10–12  RIR 1  rest 45 s</t>
        </is>
      </c>
      <c r="Q64" s="2" t="inlineStr">
        <is>
          <t>You're irritated today, so we're building the session around heavy, simple compound work, driving every rep of Barbell Bench Press with intent and giving the heavy work full rest so it stays heavy. Your muscle goal is why 2 accessory movements sit behind the main lifts. Barbell Bench Press and Parallel Bar Dip stay so your progression carries over, the session runs a different shape from last time and 3 movements are new versus your last one.</t>
        </is>
      </c>
      <c r="R64" s="2" t="inlineStr">
        <is>
          <t>state = irritated (expression: heavy_primary) → intended: direct_physical_cathartic_work → realized: Barbell Bench Press rest 225→240 s; Parallel Bar Dip rest 135→150 s; Smith Machine Incline Press rest 135→150 s; explosive intent on Barbell Bench Press; Heavy Primary instead of Top Set + Back-off
experience = intermediate → intended: match_programming_vocabulary_to_level → realized: intermediate pool: Barbell Bench Press, Parallel Bar Dip
goal = build_muscle → intended: hypertrophy_volume_and_accessories → realized: 2 accessory movements behind the main lift, 4 accessory sets in the 10–20 range
duration = 60 → intended: fill_the_requested_time_with_useful_work → realized: trimmed to fit: accessory_rest_shortened, set_removed; estimated 57.5 min for a 60-minute request
equipment = commercial_gym → intended: availability_only → realized: nothing (no claim made)
history = 5 completed Strength sessions → intended: rotate_shape_and_movements_keep_the_main_lift → realized: different shape from your last Upper Push (Top Set + Back-off then, Heavy Primary now); main lift continuity for progression: Barbell Bench Press, Parallel Bar Dip; 3 movements not in your last Upper Push session</t>
        </is>
      </c>
      <c r="S64" s="2" t="inlineStr">
        <is>
          <t>irritated: attempt 0 expression 'heavy_primary' realized ['rest', 'tempo', 'structure'] no-ops ['state_reps_no_effect'] → satisfied</t>
        </is>
      </c>
      <c r="T64" s="2" t="inlineStr">
        <is>
          <t>Barbell Bench Press (5 × 4–6) leads as the main lift, then 2 strength lifts and 2 accessories.
17 working sets across 5 exercises, about 58 minutes.
Main work stops about 2 reps short of failure, accessories about 1 rep short of failure.
Intermediate difficulty: every movement is within the intermediate complexity and skill limits.
Your profile goal is to build muscle; today's Strength session is built from today's choices.</t>
        </is>
      </c>
      <c r="U64" s="2" t="n"/>
      <c r="V64" s="2"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1"/>
  <sheetViews>
    <sheetView workbookViewId="0">
      <pane ySplit="1" topLeftCell="A2" activePane="bottomLeft" state="frozen"/>
      <selection pane="bottomLeft" activeCell="A1" sqref="A1"/>
    </sheetView>
  </sheetViews>
  <sheetFormatPr baseColWidth="8" defaultRowHeight="15"/>
  <cols>
    <col width="5" customWidth="1" min="1" max="1"/>
    <col width="12" customWidth="1" min="2" max="2"/>
    <col width="22" customWidth="1" min="3" max="3"/>
    <col width="9" customWidth="1" min="4" max="4"/>
    <col width="22" customWidth="1" min="5" max="5"/>
    <col width="14" customWidth="1" min="6" max="6"/>
    <col width="18" customWidth="1" min="7" max="7"/>
    <col width="22" customWidth="1" min="8" max="8"/>
    <col width="8" customWidth="1" min="9" max="9"/>
    <col width="6" customWidth="1" min="10" max="10"/>
    <col width="16" customWidth="1" min="11" max="11"/>
    <col width="60" customWidth="1" min="12" max="12"/>
    <col width="60" customWidth="1" min="13" max="13"/>
    <col width="18" customWidth="1" min="14" max="14"/>
    <col width="14" customWidth="1" min="15" max="15"/>
    <col width="40" customWidth="1" min="16" max="16"/>
  </cols>
  <sheetData>
    <row r="1">
      <c r="A1" s="1" t="inlineStr">
        <is>
          <t>#</t>
        </is>
      </c>
      <c r="B1" s="1" t="inlineStr">
        <is>
          <t>Level</t>
        </is>
      </c>
      <c r="C1" s="1" t="inlineStr">
        <is>
          <t>Goal</t>
        </is>
      </c>
      <c r="D1" s="1" t="inlineStr">
        <is>
          <t>Duration</t>
        </is>
      </c>
      <c r="E1" s="1" t="inlineStr">
        <is>
          <t>Target / archetype</t>
        </is>
      </c>
      <c r="F1" s="1" t="inlineStr">
        <is>
          <t>History</t>
        </is>
      </c>
      <c r="G1" s="1" t="inlineStr">
        <is>
          <t>Archetype built</t>
        </is>
      </c>
      <c r="H1" s="1" t="inlineStr">
        <is>
          <t>Variant</t>
        </is>
      </c>
      <c r="I1" s="1" t="inlineStr">
        <is>
          <t>Est. min</t>
        </is>
      </c>
      <c r="J1" s="1" t="inlineStr">
        <is>
          <t>Sets</t>
        </is>
      </c>
      <c r="K1" s="1" t="inlineStr">
        <is>
          <t>Set methods</t>
        </is>
      </c>
      <c r="L1" s="1" t="inlineStr">
        <is>
          <t>Workout</t>
        </is>
      </c>
      <c r="M1" s="1" t="inlineStr">
        <is>
          <t>WHY THIS FITS TODAY</t>
        </is>
      </c>
      <c r="N1" s="1" t="inlineStr">
        <is>
          <t>Your State guess</t>
        </is>
      </c>
      <c r="O1" s="1" t="inlineStr">
        <is>
          <t>Defensible? (Y/N)</t>
        </is>
      </c>
      <c r="P1" s="1" t="inlineStr">
        <is>
          <t>Notes</t>
        </is>
      </c>
    </row>
    <row r="2">
      <c r="A2" s="2" t="n">
        <v>1</v>
      </c>
      <c r="B2" s="2" t="inlineStr">
        <is>
          <t>advanced</t>
        </is>
      </c>
      <c r="C2" s="2" t="inlineStr">
        <is>
          <t>Build strength</t>
        </is>
      </c>
      <c r="D2" s="2" t="n">
        <v>30</v>
      </c>
      <c r="E2" s="2" t="inlineStr">
        <is>
          <t>Upper Push</t>
        </is>
      </c>
      <c r="F2" s="2" t="inlineStr">
        <is>
          <t>first session</t>
        </is>
      </c>
      <c r="G2" s="2" t="inlineStr">
        <is>
          <t>Upper Push</t>
        </is>
      </c>
      <c r="H2" s="2" t="inlineStr">
        <is>
          <t>Efficient</t>
        </is>
      </c>
      <c r="I2" s="2" t="n">
        <v>28.5</v>
      </c>
      <c r="J2" s="2" t="n">
        <v>9</v>
      </c>
      <c r="K2" s="2" t="inlineStr"/>
      <c r="L2" s="2" t="inlineStr">
        <is>
          <t>Barbell Bench Press: 4 × 4–6  RIR 1  rest 150 s
Parallel Bar Dip: 3 × 6–8  RIR 1  rest 90 s
Rope Triceps Pressdown: 2 × 10–12  RIR 1  rest 45 s
FINISHER  Pec Deck: 2 × 15–20  RIR 0  rest 30 s</t>
        </is>
      </c>
      <c r="M2" s="2" t="inlineStr">
        <is>
          <t>You're amped today, so we're taking Parallel Bar Dip a rep closer to failure, pushing the main lifts to the heavy end of their range and closing with a burnout finisher. Since you're an advanced lifter, Barbell Bench Press runs to a rep from failure, and your strength goal keeps the main lift heavy first.</t>
        </is>
      </c>
      <c r="N2" s="2" t="n"/>
      <c r="O2" s="2" t="n"/>
      <c r="P2" s="2" t="n"/>
    </row>
    <row r="3">
      <c r="A3" s="2" t="n">
        <v>2</v>
      </c>
      <c r="B3" s="2" t="inlineStr">
        <is>
          <t>intermediate</t>
        </is>
      </c>
      <c r="C3" s="2" t="inlineStr">
        <is>
          <t>Feel better / reduce stress</t>
        </is>
      </c>
      <c r="D3" s="2" t="n">
        <v>30</v>
      </c>
      <c r="E3" s="2" t="inlineStr">
        <is>
          <t>Upper Push</t>
        </is>
      </c>
      <c r="F3" s="2" t="inlineStr">
        <is>
          <t>first session</t>
        </is>
      </c>
      <c r="G3" s="2" t="inlineStr">
        <is>
          <t>Upper Push</t>
        </is>
      </c>
      <c r="H3" s="2" t="inlineStr">
        <is>
          <t>Heavy Primary</t>
        </is>
      </c>
      <c r="I3" s="2" t="n">
        <v>30</v>
      </c>
      <c r="J3" s="2" t="n">
        <v>9</v>
      </c>
      <c r="K3" s="2" t="inlineStr"/>
      <c r="L3" s="2" t="inlineStr">
        <is>
          <t>Incline Dumbbell Press: 4 × 4–6  RIR 2  (Move the bar with intent: controlled down, drive up as fast as it will go. Stop each set with about 2 reps left in the tank.)  rest 210 s
Parallel Bar Dip: 3 × 8–10  RIR 2  rest 120 s
Machine Triceps Extension: 2 × 10–12  RIR 1  rest 45 s</t>
        </is>
      </c>
      <c r="M3" s="2" t="inlineStr">
        <is>
          <t>You're irritated and stressed, so we're building the session around heavy, simple compound work, sticking to familiar movements you can run on autopilot and driving every rep of Incline Dumbbell Press with intent. Your feel-better goal keeps the compound work two reps from failure.</t>
        </is>
      </c>
      <c r="N3" s="2" t="n"/>
      <c r="O3" s="2" t="n"/>
      <c r="P3" s="2" t="n"/>
    </row>
    <row r="4">
      <c r="A4" s="2" t="n">
        <v>3</v>
      </c>
      <c r="B4" s="2" t="inlineStr">
        <is>
          <t>beginner</t>
        </is>
      </c>
      <c r="C4" s="2" t="inlineStr">
        <is>
          <t>Lose weight / conditioning</t>
        </is>
      </c>
      <c r="D4" s="2" t="n">
        <v>30</v>
      </c>
      <c r="E4" s="2" t="inlineStr">
        <is>
          <t>Glutes + Legs</t>
        </is>
      </c>
      <c r="F4" s="2" t="inlineStr">
        <is>
          <t>first session</t>
        </is>
      </c>
      <c r="G4" s="2" t="inlineStr">
        <is>
          <t>Glutes + Legs</t>
        </is>
      </c>
      <c r="H4" s="2" t="inlineStr">
        <is>
          <t>Compound + Paired Accessories</t>
        </is>
      </c>
      <c r="I4" s="2" t="n">
        <v>27.3</v>
      </c>
      <c r="J4" s="2" t="n">
        <v>10</v>
      </c>
      <c r="K4" s="2" t="inlineStr">
        <is>
          <t>slow_eccentric</t>
        </is>
      </c>
      <c r="L4" s="2" t="inlineStr">
        <is>
          <t>Barbell Hip Thrust: 3 × 6–8  RIR 2  rest 150 s
Trap-Bar Deadlift: 3 × 8–10 · 3 s eccentric  RIR 2  (Take 3 s to lower every rep, then lift at normal speed. Stop each set with about 2 reps left in the tank.)  rest 105 s
SUPERSET A (2 rounds, rest 60 s after each round)
  A1 Frog Pump: 2 × 12–15  RIR 2
  A2 Leg Extension: 2 × 12–15  RIR 2</t>
        </is>
      </c>
      <c r="M4" s="2" t="inlineStr">
        <is>
          <t>You're bored today, so we're changing the shape of the session to Compound + Paired Accessories. Since you're newer to lifting, the main work keeps at least two reps in reserve and the movements stay approachable, and your conditioning goal keeps the accessory rests short.</t>
        </is>
      </c>
      <c r="N4" s="2" t="n"/>
      <c r="O4" s="2" t="n"/>
      <c r="P4" s="2" t="n"/>
    </row>
    <row r="5">
      <c r="A5" s="2" t="n">
        <v>4</v>
      </c>
      <c r="B5" s="2" t="inlineStr">
        <is>
          <t>beginner</t>
        </is>
      </c>
      <c r="C5" s="2" t="inlineStr">
        <is>
          <t>Build strength</t>
        </is>
      </c>
      <c r="D5" s="2" t="n">
        <v>30</v>
      </c>
      <c r="E5" s="2" t="inlineStr">
        <is>
          <t>Glutes + Legs</t>
        </is>
      </c>
      <c r="F5" s="2" t="inlineStr">
        <is>
          <t>first session</t>
        </is>
      </c>
      <c r="G5" s="2" t="inlineStr">
        <is>
          <t>Glutes + Legs</t>
        </is>
      </c>
      <c r="H5" s="2" t="inlineStr">
        <is>
          <t>Traditional</t>
        </is>
      </c>
      <c r="I5" s="2" t="n">
        <v>26.3</v>
      </c>
      <c r="J5" s="2" t="n">
        <v>8</v>
      </c>
      <c r="K5" s="2" t="inlineStr"/>
      <c r="L5" s="2" t="inlineStr">
        <is>
          <t>Barbell Hip Thrust: 3 × 8–10  RIR 3  (Stop each set with about 3 reps left in the tank.)  rest 150 s
Dumbbell Romanian Deadlift: 3 × 10–12  RIR 3  (Stop each set with about 3 reps left in the tank.)  rest 105 s
Machine Glute Kickback: 2 × 12–15/side  RIR 2  rest 60 s</t>
        </is>
      </c>
      <c r="M5" s="2" t="inlineStr">
        <is>
          <t>You're low on energy today, so we're keeping you further from failure on Barbell Hip Thrust and Dumbbell Romanian Deadlift, leaving out the higher-cost accessories and keeping the main lifts at moderate loads. Since you're newer to lifting, the main work keeps at least two reps in reserve and the movements stay approachable.</t>
        </is>
      </c>
      <c r="N5" s="2" t="n"/>
      <c r="O5" s="2" t="n"/>
      <c r="P5" s="2" t="n"/>
    </row>
    <row r="6">
      <c r="A6" s="2" t="n">
        <v>5</v>
      </c>
      <c r="B6" s="2" t="inlineStr">
        <is>
          <t>beginner</t>
        </is>
      </c>
      <c r="C6" s="2" t="inlineStr">
        <is>
          <t>Build strength</t>
        </is>
      </c>
      <c r="D6" s="2" t="n">
        <v>30</v>
      </c>
      <c r="E6" s="2" t="inlineStr">
        <is>
          <t>Glutes + Legs</t>
        </is>
      </c>
      <c r="F6" s="2" t="inlineStr">
        <is>
          <t>first session</t>
        </is>
      </c>
      <c r="G6" s="2" t="inlineStr">
        <is>
          <t>Glutes + Legs</t>
        </is>
      </c>
      <c r="H6" s="2" t="inlineStr">
        <is>
          <t>Compound + Paired Accessories</t>
        </is>
      </c>
      <c r="I6" s="2" t="n">
        <v>27.9</v>
      </c>
      <c r="J6" s="2" t="n">
        <v>10</v>
      </c>
      <c r="K6" s="2" t="inlineStr"/>
      <c r="L6" s="2" t="inlineStr">
        <is>
          <t>Barbell Hip Thrust: 3 × 8–10  RIR 3  (Stop each set with about 3 reps left in the tank.)  rest 150 s
Pit Shark Belt Squat: 3 × 10–12  RIR 3  (Stop each set with about 3 reps left in the tank.)  rest 120 s
SUPERSET A (2 rounds, rest 60 s after each round)
  A1 Frog Pump: 2 × 12–15  RIR 2
  A2 Lying Leg Curl: 2 × 12–15  RIR 2</t>
        </is>
      </c>
      <c r="M6" s="2" t="inlineStr">
        <is>
          <t>You're low on energy today, so we're keeping you further from failure on Barbell Hip Thrust and Pit Shark Belt Squat and keeping the main lifts at moderate loads. Since you're newer to lifting, the main work keeps at least two reps in reserve and the movements stay approachable.</t>
        </is>
      </c>
      <c r="N6" s="2" t="n"/>
      <c r="O6" s="2" t="n"/>
      <c r="P6" s="2" t="n"/>
    </row>
    <row r="7">
      <c r="A7" s="2" t="n">
        <v>6</v>
      </c>
      <c r="B7" s="2" t="inlineStr">
        <is>
          <t>intermediate</t>
        </is>
      </c>
      <c r="C7" s="2" t="inlineStr">
        <is>
          <t>Lose weight / conditioning</t>
        </is>
      </c>
      <c r="D7" s="2" t="n">
        <v>30</v>
      </c>
      <c r="E7" s="2" t="inlineStr">
        <is>
          <t>Lower Body: Squat</t>
        </is>
      </c>
      <c r="F7" s="2" t="inlineStr">
        <is>
          <t>first session</t>
        </is>
      </c>
      <c r="G7" s="2" t="inlineStr">
        <is>
          <t>Lower Body: Squat</t>
        </is>
      </c>
      <c r="H7" s="2" t="inlineStr">
        <is>
          <t>Compound + Paired Accessories</t>
        </is>
      </c>
      <c r="I7" s="2" t="n">
        <v>29.4</v>
      </c>
      <c r="J7" s="2" t="n">
        <v>12</v>
      </c>
      <c r="K7" s="2" t="inlineStr"/>
      <c r="L7" s="2" t="inlineStr">
        <is>
          <t>Barbell Back Squat: 3 × 5–7  RIR 2  rest 165 s
Leg Press: 3 × 8–10  RIR 2  rest 105 s
SUPERSET A (3 rounds, rest 60 s after each round)
  A1 Sissy Squat: 3 × 12–15  RIR 1
  A2 Roman Chair / GHD Glute-Ham Raise: 3 × 10–12  RIR 1</t>
        </is>
      </c>
      <c r="M7" s="2" t="inlineStr">
        <is>
          <t>You're bored today, so we're bringing in 1 less-familiar movement and changing the shape of the session to Compound + Paired Accessories. Your conditioning goal keeps the accessory rests short.</t>
        </is>
      </c>
      <c r="N7" s="2" t="n"/>
      <c r="O7" s="2" t="n"/>
      <c r="P7" s="2" t="n"/>
    </row>
    <row r="8">
      <c r="A8" s="2" t="n">
        <v>7</v>
      </c>
      <c r="B8" s="2" t="inlineStr">
        <is>
          <t>beginner</t>
        </is>
      </c>
      <c r="C8" s="2" t="inlineStr">
        <is>
          <t>Feel better / reduce stress</t>
        </is>
      </c>
      <c r="D8" s="2" t="n">
        <v>60</v>
      </c>
      <c r="E8" s="2" t="inlineStr">
        <is>
          <t>Lower Body: Squat</t>
        </is>
      </c>
      <c r="F8" s="2" t="inlineStr">
        <is>
          <t>first session</t>
        </is>
      </c>
      <c r="G8" s="2" t="inlineStr">
        <is>
          <t>Lower Body: Squat</t>
        </is>
      </c>
      <c r="H8" s="2" t="inlineStr">
        <is>
          <t>Traditional</t>
        </is>
      </c>
      <c r="I8" s="2" t="n">
        <v>53.8</v>
      </c>
      <c r="J8" s="2" t="n">
        <v>18</v>
      </c>
      <c r="K8" s="2" t="inlineStr">
        <is>
          <t>slow_eccentric</t>
        </is>
      </c>
      <c r="L8" s="2" t="inlineStr">
        <is>
          <t>Hack Squat: 4 × 6–8  RIR 3  (Stop each set with about 3 reps left in the tank.)  rest 150 s
Leg Press: 4 × 8–10  RIR 3  (Controlled tempo: 3 s lowering, smooth drive, no bounce. Stop each set with about 3 reps left in the tank.)  rest 120 s
Box Step-Up (Glute Bias): 4 × 8–10/side  RIR 3  (Controlled tempo: 3 s lowering, smooth drive, no bounce. Stop each set with about 3 reps left in the tank.)  rest 120 s
Leg Extension: 2 × 12–15 · 3 s eccentric  RIR 2  (Take 3 s to lower every rep, then lift at normal speed. Stop each set with about 2 reps left in the tank.)  rest 60 s
Seated Leg Curl: 2 × 12–15  RIR 2  rest 60 s
Machine Glute Kickback: 2 × 12–15/side  RIR 2  rest 45 s</t>
        </is>
      </c>
      <c r="M8" s="2" t="inlineStr">
        <is>
          <t>You're stressed today, so we're keeping the structure simple and predictable, keeping the reps controlled and rhythmic and sticking to familiar movements you can run on autopilot. Since you're newer to lifting, the main work keeps at least two reps in reserve and the movements stay approachable, and your feel-better goal keeps the compound work two reps from failure.</t>
        </is>
      </c>
      <c r="N8" s="2" t="n"/>
      <c r="O8" s="2" t="n"/>
      <c r="P8" s="2" t="n"/>
    </row>
    <row r="9">
      <c r="A9" s="2" t="n">
        <v>8</v>
      </c>
      <c r="B9" s="2" t="inlineStr">
        <is>
          <t>intermediate</t>
        </is>
      </c>
      <c r="C9" s="2" t="inlineStr">
        <is>
          <t>Build strength</t>
        </is>
      </c>
      <c r="D9" s="2" t="n">
        <v>30</v>
      </c>
      <c r="E9" s="2" t="inlineStr">
        <is>
          <t>Lower Body: Hinge</t>
        </is>
      </c>
      <c r="F9" s="2" t="inlineStr">
        <is>
          <t>first session</t>
        </is>
      </c>
      <c r="G9" s="2" t="inlineStr">
        <is>
          <t>Lower Body: Hinge</t>
        </is>
      </c>
      <c r="H9" s="2" t="inlineStr">
        <is>
          <t>Efficient</t>
        </is>
      </c>
      <c r="I9" s="2" t="n">
        <v>26.7</v>
      </c>
      <c r="J9" s="2" t="n">
        <v>10</v>
      </c>
      <c r="K9" s="2" t="inlineStr"/>
      <c r="L9" s="2" t="inlineStr">
        <is>
          <t>Barbell Romanian Deadlift: 3 × 5–7  RIR 2  rest 150 s
Cable Pull-Through: 3 × 8–10  RIR 2  rest 90 s
Seated Leg Curl: 2 × 10–12  RIR 1  rest 45 s
Side Plank: 2 × 20–40 sec / side  RIR 1  rest 45 s</t>
        </is>
      </c>
      <c r="M9" s="2" t="inlineStr">
        <is>
          <t>You're stressed today, so we're keeping the structure simple and predictable. Your strength goal keeps the main lift heavy first.</t>
        </is>
      </c>
      <c r="N9" s="2" t="n"/>
      <c r="O9" s="2" t="n"/>
      <c r="P9" s="2" t="n"/>
    </row>
    <row r="10">
      <c r="A10" s="2" t="n">
        <v>9</v>
      </c>
      <c r="B10" s="2" t="inlineStr">
        <is>
          <t>beginner</t>
        </is>
      </c>
      <c r="C10" s="2" t="inlineStr">
        <is>
          <t>Feel better / reduce stress</t>
        </is>
      </c>
      <c r="D10" s="2" t="n">
        <v>60</v>
      </c>
      <c r="E10" s="2" t="inlineStr">
        <is>
          <t>Upper Push</t>
        </is>
      </c>
      <c r="F10" s="2" t="inlineStr">
        <is>
          <t>first session</t>
        </is>
      </c>
      <c r="G10" s="2" t="inlineStr">
        <is>
          <t>Upper Push</t>
        </is>
      </c>
      <c r="H10" s="2" t="inlineStr">
        <is>
          <t>Heavy Primary</t>
        </is>
      </c>
      <c r="I10" s="2" t="n">
        <v>52</v>
      </c>
      <c r="J10" s="2" t="n">
        <v>16</v>
      </c>
      <c r="K10" s="2" t="inlineStr"/>
      <c r="L10" s="2" t="inlineStr">
        <is>
          <t>Dumbbell Bench Press: 4 × 6–8  RIR 3  (Move the bar with intent: controlled down, drive up as fast as it will go. Stop each set with about 3 reps left in the tank.)  rest 180 s
Seated Dumbbell Shoulder Press: 4 × 8–10  RIR 3  (Stop each set with about 3 reps left in the tank.)  rest 150 s
Smith Machine Incline Press: 4 × 8–10  RIR 3  (Stop each set with about 3 reps left in the tank.)  rest 150 s
Pec Deck: 2 × 12–15  RIR 2  rest 75 s
Machine Triceps Extension: 2 × 12–15  RIR 2  rest 75 s</t>
        </is>
      </c>
      <c r="M10" s="2" t="inlineStr">
        <is>
          <t>You're irritated and stressed, so we're building the session around heavy, simple compound work, taking unhurried rest between sets and driving every rep of Dumbbell Bench Press with intent. Since you're newer to lifting, the main work keeps at least two reps in reserve and the movements stay approachable, and your feel-better goal keeps the compound work two reps from failure.</t>
        </is>
      </c>
      <c r="N10" s="2" t="n"/>
      <c r="O10" s="2" t="n"/>
      <c r="P10" s="2" t="n"/>
    </row>
    <row r="11">
      <c r="A11" s="2" t="n">
        <v>10</v>
      </c>
      <c r="B11" s="2" t="inlineStr">
        <is>
          <t>advanced</t>
        </is>
      </c>
      <c r="C11" s="2" t="inlineStr">
        <is>
          <t>Lose weight / conditioning</t>
        </is>
      </c>
      <c r="D11" s="2" t="n">
        <v>60</v>
      </c>
      <c r="E11" s="2" t="inlineStr">
        <is>
          <t>Lower Body: Hinge</t>
        </is>
      </c>
      <c r="F11" s="2" t="inlineStr">
        <is>
          <t>first session</t>
        </is>
      </c>
      <c r="G11" s="2" t="inlineStr">
        <is>
          <t>Lower Body: Hinge</t>
        </is>
      </c>
      <c r="H11" s="2" t="inlineStr">
        <is>
          <t>Top Set + Back-off</t>
        </is>
      </c>
      <c r="I11" s="2" t="n">
        <v>56.2</v>
      </c>
      <c r="J11" s="2" t="n">
        <v>18</v>
      </c>
      <c r="K11" s="2" t="inlineStr">
        <is>
          <t>pause, slow_eccentric</t>
        </is>
      </c>
      <c r="L11" s="2" t="inlineStr">
        <is>
          <t>Barbell Romanian Deadlift: 4 sets: 4/7/7/7 · paused reps  RIR 1  (Pause 2 s at the hardest point of every rep, then drive out of it. Top set heavy, then back off 10–15% for the remaining sets. Stop each set with about 1 rep left in the tank.)  rest 240 s
Cable Pull-Through: 4 × 8–10 · 3 s eccentric  RIR 2  (Take 3 s to lower every rep, then lift at normal speed. Stop each set with about 2 reps left in the tank.)  rest 120 s
Curtsy Lunge: 4 × 8–10/side  RIR 2  rest 120 s
Roman Chair / GHD Glute-Ham Raise: 3 × 10–12  RIR 1  rest 45 s
Dragon Flag: 3 × 10–12  RIR 1  rest 45 s</t>
        </is>
      </c>
      <c r="M11" s="2" t="inlineStr">
        <is>
          <t>You're bored today, so we're changing the feel with paused reps on the Barbell Romanian Deadlift, bringing in 2 less-familiar movements and changing the shape of the session to Top Set + Back-off. Since you're an advanced lifter, we're keeping 3 s eccentric on Cable Pull-Through in the mix, and your conditioning goal keeps the accessory rests short.</t>
        </is>
      </c>
      <c r="N11" s="2" t="n"/>
      <c r="O11" s="2" t="n"/>
      <c r="P11" s="2" t="n"/>
    </row>
    <row r="12">
      <c r="A12" s="2" t="n">
        <v>11</v>
      </c>
      <c r="B12" s="2" t="inlineStr">
        <is>
          <t>intermediate</t>
        </is>
      </c>
      <c r="C12" s="2" t="inlineStr">
        <is>
          <t>Build muscle</t>
        </is>
      </c>
      <c r="D12" s="2" t="n">
        <v>60</v>
      </c>
      <c r="E12" s="2" t="inlineStr">
        <is>
          <t>Arms</t>
        </is>
      </c>
      <c r="F12" s="2" t="inlineStr">
        <is>
          <t>first session</t>
        </is>
      </c>
      <c r="G12" s="2" t="inlineStr">
        <is>
          <t>Arms</t>
        </is>
      </c>
      <c r="H12" s="2" t="inlineStr">
        <is>
          <t>Compound + Paired Accessories</t>
        </is>
      </c>
      <c r="I12" s="2" t="n">
        <v>56.9</v>
      </c>
      <c r="J12" s="2" t="n">
        <v>23</v>
      </c>
      <c r="K12" s="2" t="inlineStr"/>
      <c r="L12" s="2" t="inlineStr">
        <is>
          <t>Incline Dumbbell Curl: 4 × 8–10  RIR 3  (Stop each set with about 3 reps left in the tank.)  rest 120 s
Seated Dip Machine: 4 × 8–10  RIR 3  (Stop each set with about 3 reps left in the tank.)  rest 120 s
SUPERSET A (4 rounds, rest 60 s after each round)
  A1 Bayesian Cable Curl: 4 × 12–15/side  RIR 2
  A2 Cross-Body Cable Triceps Extension: 4 × 12–15/side  RIR 2
Plate Front Raise: 4 × 15–20  RIR 2  rest 60 s
Chest-Supported Rear-Delt Row: 3 × 15–20  RIR 2  rest 60 s</t>
        </is>
      </c>
      <c r="M12" s="2" t="inlineStr">
        <is>
          <t>You're bored and low on energy, so we're bringing in 3 less-familiar movements and keeping you further from failure on every set. Your muscle goal keeps 4 accessory movements working at moderate reps.</t>
        </is>
      </c>
      <c r="N12" s="2" t="n"/>
      <c r="O12" s="2" t="n"/>
      <c r="P12" s="2" t="n"/>
    </row>
    <row r="13">
      <c r="A13" s="2" t="n">
        <v>12</v>
      </c>
      <c r="B13" s="2" t="inlineStr">
        <is>
          <t>intermediate</t>
        </is>
      </c>
      <c r="C13" s="2" t="inlineStr">
        <is>
          <t>Improve athleticism</t>
        </is>
      </c>
      <c r="D13" s="2" t="n">
        <v>30</v>
      </c>
      <c r="E13" s="2" t="inlineStr">
        <is>
          <t>Full Body</t>
        </is>
      </c>
      <c r="F13" s="2" t="inlineStr">
        <is>
          <t>first session</t>
        </is>
      </c>
      <c r="G13" s="2" t="inlineStr">
        <is>
          <t>Full Body</t>
        </is>
      </c>
      <c r="H13" s="2" t="inlineStr">
        <is>
          <t>Heavy Primary</t>
        </is>
      </c>
      <c r="I13" s="2" t="n">
        <v>30.8</v>
      </c>
      <c r="J13" s="2" t="n">
        <v>10</v>
      </c>
      <c r="K13" s="2" t="inlineStr">
        <is>
          <t>one_and_half</t>
        </is>
      </c>
      <c r="L13" s="2" t="inlineStr">
        <is>
          <t>Barbell Romanian Deadlift: 4 × 4–6  RIR 2  rest 165 s
Dumbbell Thruster: 3 × 8–10  RIR 2  rest 90 s
Lat Pulldown: 3 × 8–10 · 1.5 reps  RIR 2  (Full rep, half rep from the stretched position, back to the top: that is one rep. Stop each set with about 2 reps left in the tank.)  rest 90 s</t>
        </is>
      </c>
      <c r="M13" s="2" t="inlineStr">
        <is>
          <t>You're bored today, so we're changing the feel with 1.5 reps on the Lat Pulldown, bringing in 1 less-familiar movement and changing the shape of the session to Heavy Primary. Your athleticism goal keeps the main lift heavy and fast with full rest.</t>
        </is>
      </c>
      <c r="N13" s="2" t="n"/>
      <c r="O13" s="2" t="n"/>
      <c r="P13" s="2" t="n"/>
    </row>
    <row r="14">
      <c r="A14" s="2" t="n">
        <v>13</v>
      </c>
      <c r="B14" s="2" t="inlineStr">
        <is>
          <t>beginner</t>
        </is>
      </c>
      <c r="C14" s="2" t="inlineStr">
        <is>
          <t>Feel better / reduce stress</t>
        </is>
      </c>
      <c r="D14" s="2" t="n">
        <v>60</v>
      </c>
      <c r="E14" s="2" t="inlineStr">
        <is>
          <t>Upper Pull</t>
        </is>
      </c>
      <c r="F14" s="2" t="inlineStr">
        <is>
          <t>first session</t>
        </is>
      </c>
      <c r="G14" s="2" t="inlineStr">
        <is>
          <t>Upper Pull</t>
        </is>
      </c>
      <c r="H14" s="2" t="inlineStr">
        <is>
          <t>Heavy Primary</t>
        </is>
      </c>
      <c r="I14" s="2" t="n">
        <v>52.1</v>
      </c>
      <c r="J14" s="2" t="n">
        <v>18</v>
      </c>
      <c r="K14" s="2" t="inlineStr"/>
      <c r="L14" s="2" t="inlineStr">
        <is>
          <t>Chest-Supported Machine Row: 4 × 6–8  RIR 3  (Stop each set with about 3 reps left in the tank.)  rest 180 s
Lat Pulldown: 4 × 8–10  RIR 3  (Stop each set with about 3 reps left in the tank.)  rest 135 s
Assisted Pull-Up Machine: 4 × 8–10  RIR 3  (Stop each set with about 3 reps left in the tank.)  rest 135 s
SUPERSET A (3 rounds, rest 60 s after each round)
  A1 Incline Dumbbell Curl: 3 × 12–15  RIR 2
  A2 Reverse Pec Deck: 3 × 15–20  RIR 2</t>
        </is>
      </c>
      <c r="M14" s="2" t="inlineStr">
        <is>
          <t>You're bored and low on energy, so we're bringing in 2 less-familiar movements, leaning into stable, low-friction movements and changing the shape of the session to Heavy Primary. Since you're newer to lifting, the main work keeps at least two reps in reserve and the movements stay approachable, and your feel-better goal keeps the compound work two reps from failure.</t>
        </is>
      </c>
      <c r="N14" s="2" t="n"/>
      <c r="O14" s="2" t="n"/>
      <c r="P14" s="2" t="n"/>
    </row>
    <row r="15">
      <c r="A15" s="2" t="n">
        <v>14</v>
      </c>
      <c r="B15" s="2" t="inlineStr">
        <is>
          <t>intermediate</t>
        </is>
      </c>
      <c r="C15" s="2" t="inlineStr">
        <is>
          <t>Lose weight / conditioning</t>
        </is>
      </c>
      <c r="D15" s="2" t="n">
        <v>30</v>
      </c>
      <c r="E15" s="2" t="inlineStr">
        <is>
          <t>Upper Body (mixed)</t>
        </is>
      </c>
      <c r="F15" s="2" t="inlineStr">
        <is>
          <t>first session</t>
        </is>
      </c>
      <c r="G15" s="2" t="inlineStr">
        <is>
          <t>Upper Body</t>
        </is>
      </c>
      <c r="H15" s="2" t="inlineStr">
        <is>
          <t>Traditional</t>
        </is>
      </c>
      <c r="I15" s="2" t="n">
        <v>26.2</v>
      </c>
      <c r="J15" s="2" t="n">
        <v>9</v>
      </c>
      <c r="K15" s="2" t="inlineStr"/>
      <c r="L15" s="2" t="inlineStr">
        <is>
          <t>Barbell Bench Press: 4 × 5–7  RIR 2  rest 150 s
Seated Cable Row: 3 × 8–10  RIR 2  rest 90 s
EZ-Bar Preacher Curl: 2 × 10–12  RIR 1  rest 45 s</t>
        </is>
      </c>
      <c r="M15" s="2" t="inlineStr">
        <is>
          <t>You're amped but stressed, so we're adding a working set to Barbell Bench Press and sticking to familiar movements you can run on autopilot. Your conditioning goal keeps the accessory rests short.</t>
        </is>
      </c>
      <c r="N15" s="2" t="n"/>
      <c r="O15" s="2" t="n"/>
      <c r="P15" s="2" t="n"/>
    </row>
    <row r="16">
      <c r="A16" s="2" t="n">
        <v>15</v>
      </c>
      <c r="B16" s="2" t="inlineStr">
        <is>
          <t>beginner</t>
        </is>
      </c>
      <c r="C16" s="2" t="inlineStr">
        <is>
          <t>Improve athleticism</t>
        </is>
      </c>
      <c r="D16" s="2" t="n">
        <v>30</v>
      </c>
      <c r="E16" s="2" t="inlineStr">
        <is>
          <t>Lower Body: Hinge</t>
        </is>
      </c>
      <c r="F16" s="2" t="inlineStr">
        <is>
          <t>first session</t>
        </is>
      </c>
      <c r="G16" s="2" t="inlineStr">
        <is>
          <t>Lower Body: Hinge</t>
        </is>
      </c>
      <c r="H16" s="2" t="inlineStr">
        <is>
          <t>Traditional</t>
        </is>
      </c>
      <c r="I16" s="2" t="n">
        <v>27.2</v>
      </c>
      <c r="J16" s="2" t="n">
        <v>8</v>
      </c>
      <c r="K16" s="2" t="inlineStr"/>
      <c r="L16" s="2" t="inlineStr">
        <is>
          <t>Dumbbell Romanian Deadlift: 3 × 6–8  RIR 2  rest 150 s
Cable Pull-Through: 3 × 8–10  RIR 2  (Controlled tempo: 3 s lowering, smooth drive, no bounce. Stop each set with about 2 reps left in the tank.)  rest 105 s
Seated Leg Curl: 2 × 12–15  RIR 2  rest 60 s
FINISHER  Machine Glute Kickback: 2 × 15–20  RIR 0  rest 30 s</t>
        </is>
      </c>
      <c r="M16" s="2" t="inlineStr">
        <is>
          <t>You're amped but stressed, so we're closing with a burnout finisher and keeping the reps controlled and rhythmic. Since you're newer to lifting, the main work keeps at least two reps in reserve and the movements stay approachable.</t>
        </is>
      </c>
      <c r="N16" s="2" t="n"/>
      <c r="O16" s="2" t="n"/>
      <c r="P16" s="2" t="n"/>
    </row>
    <row r="17">
      <c r="A17" s="2" t="n">
        <v>16</v>
      </c>
      <c r="B17" s="2" t="inlineStr">
        <is>
          <t>advanced</t>
        </is>
      </c>
      <c r="C17" s="2" t="inlineStr">
        <is>
          <t>Build strength</t>
        </is>
      </c>
      <c r="D17" s="2" t="n">
        <v>60</v>
      </c>
      <c r="E17" s="2" t="inlineStr">
        <is>
          <t>Full Body</t>
        </is>
      </c>
      <c r="F17" s="2" t="inlineStr">
        <is>
          <t>first session</t>
        </is>
      </c>
      <c r="G17" s="2" t="inlineStr">
        <is>
          <t>Full Body</t>
        </is>
      </c>
      <c r="H17" s="2" t="inlineStr">
        <is>
          <t>Traditional</t>
        </is>
      </c>
      <c r="I17" s="2" t="n">
        <v>53</v>
      </c>
      <c r="J17" s="2" t="n">
        <v>19</v>
      </c>
      <c r="K17" s="2" t="inlineStr"/>
      <c r="L17" s="2" t="inlineStr">
        <is>
          <t>Trap-Bar Deadlift: 4 × 4–6  RIR 1  rest 210 s
Dumbbell Thruster: 4 × 6–8  RIR 1  rest 120 s
Seated Cable Row: 4 × 6–8  RIR 1  rest 120 s
Copenhagen Plank: 4 × 15–30 sec / side  RIR 1  rest 60 s
Barbell Curl: 3 × 12–15  RIR 1  rest 45 s</t>
        </is>
      </c>
      <c r="M17" s="2" t="inlineStr">
        <is>
          <t>You're amped today, so we're taking Dumbbell Thruster and Seated Cable Row a rep closer to failure. Since you're an advanced lifter, Trap-Bar Deadlift runs to a rep from failure, and your strength goal keeps the main lift heavy with full rest.</t>
        </is>
      </c>
      <c r="N17" s="2" t="n"/>
      <c r="O17" s="2" t="n"/>
      <c r="P17" s="2" t="n"/>
    </row>
    <row r="18">
      <c r="A18" s="2" t="n">
        <v>17</v>
      </c>
      <c r="B18" s="2" t="inlineStr">
        <is>
          <t>advanced</t>
        </is>
      </c>
      <c r="C18" s="2" t="inlineStr">
        <is>
          <t>Build strength</t>
        </is>
      </c>
      <c r="D18" s="2" t="n">
        <v>60</v>
      </c>
      <c r="E18" s="2" t="inlineStr">
        <is>
          <t>Upper Pull</t>
        </is>
      </c>
      <c r="F18" s="2" t="inlineStr">
        <is>
          <t>first session</t>
        </is>
      </c>
      <c r="G18" s="2" t="inlineStr">
        <is>
          <t>Upper Pull</t>
        </is>
      </c>
      <c r="H18" s="2" t="inlineStr">
        <is>
          <t>Heavy Primary</t>
        </is>
      </c>
      <c r="I18" s="2" t="n">
        <v>57.4</v>
      </c>
      <c r="J18" s="2" t="n">
        <v>17</v>
      </c>
      <c r="K18" s="2" t="inlineStr"/>
      <c r="L18" s="2" t="inlineStr">
        <is>
          <t>Chest-Supported Machine Row: 5 × 4–6  RIR 2  rest 240 s
Pull-Up: 4 × 6–8  RIR 3  (Stop each set with about 3 reps left in the tank.)  rest 135 s
Single-Arm Cable Row: 4 × 6–8/side  RIR 3  (Stop each set with about 3 reps left in the tank.)  rest 135 s
Dumbbell Pullover: 2 × 10–12  RIR 2  rest 60 s
EZ-Bar Preacher Curl: 2 × 10–12  RIR 2  rest 60 s</t>
        </is>
      </c>
      <c r="M18" s="2" t="inlineStr">
        <is>
          <t>You're low on energy today, so we're keeping you further from failure on every set and leaning into stable, low-friction movements. Since you're an advanced lifter, the compound work stays demanding before the accessories, and your strength goal keeps the main lift heavy with full rest.</t>
        </is>
      </c>
      <c r="N18" s="2" t="n"/>
      <c r="O18" s="2" t="n"/>
      <c r="P18" s="2" t="n"/>
    </row>
    <row r="19">
      <c r="A19" s="2" t="n">
        <v>18</v>
      </c>
      <c r="B19" s="2" t="inlineStr">
        <is>
          <t>advanced</t>
        </is>
      </c>
      <c r="C19" s="2" t="inlineStr">
        <is>
          <t>Stay consistent</t>
        </is>
      </c>
      <c r="D19" s="2" t="n">
        <v>60</v>
      </c>
      <c r="E19" s="2" t="inlineStr">
        <is>
          <t>Lower Body: Squat</t>
        </is>
      </c>
      <c r="F19" s="2" t="inlineStr">
        <is>
          <t>first session</t>
        </is>
      </c>
      <c r="G19" s="2" t="inlineStr">
        <is>
          <t>Lower Body: Squat</t>
        </is>
      </c>
      <c r="H19" s="2" t="inlineStr">
        <is>
          <t>Traditional</t>
        </is>
      </c>
      <c r="I19" s="2" t="n">
        <v>52</v>
      </c>
      <c r="J19" s="2" t="n">
        <v>18</v>
      </c>
      <c r="K19" s="2" t="inlineStr"/>
      <c r="L19" s="2" t="inlineStr">
        <is>
          <t>Barbell Back Squat: 4 × 4–6  RIR 1  rest 180 s
Leg Press: 4 × 6–8  RIR 2  rest 120 s
Dumbbell Step-Up: 4 × 6–8/side  RIR 2  rest 120 s
Reverse Nordic Curl: 3 × 12–15  RIR 1  rest 60 s
Roman Chair / GHD Glute-Ham Raise: 3 × 10–12  RIR 1  rest 60 s</t>
        </is>
      </c>
      <c r="M19" s="2" t="inlineStr">
        <is>
          <t>You're irritated today, so we're loading the main lifts heavier and keeping the movements simple and physical. Since you're an advanced lifter, Barbell Back Squat runs to a rep from failure, and the session stays balanced rather than specialised.</t>
        </is>
      </c>
      <c r="N19" s="2" t="n"/>
      <c r="O19" s="2" t="n"/>
      <c r="P19" s="2" t="n"/>
    </row>
    <row r="20">
      <c r="A20" s="2" t="n">
        <v>19</v>
      </c>
      <c r="B20" s="2" t="inlineStr">
        <is>
          <t>intermediate</t>
        </is>
      </c>
      <c r="C20" s="2" t="inlineStr">
        <is>
          <t>Lose weight / conditioning</t>
        </is>
      </c>
      <c r="D20" s="2" t="n">
        <v>60</v>
      </c>
      <c r="E20" s="2" t="inlineStr">
        <is>
          <t>Upper Push</t>
        </is>
      </c>
      <c r="F20" s="2" t="inlineStr">
        <is>
          <t>first session</t>
        </is>
      </c>
      <c r="G20" s="2" t="inlineStr">
        <is>
          <t>Upper Push</t>
        </is>
      </c>
      <c r="H20" s="2" t="inlineStr">
        <is>
          <t>Traditional</t>
        </is>
      </c>
      <c r="I20" s="2" t="n">
        <v>56.6</v>
      </c>
      <c r="J20" s="2" t="n">
        <v>21</v>
      </c>
      <c r="K20" s="2" t="inlineStr"/>
      <c r="L20" s="2" t="inlineStr">
        <is>
          <t>Dumbbell Bench Press: 4 × 5–7  RIR 1  rest 195 s
Parallel Bar Dip: 4 × 8–10  RIR 2  rest 120 s
Smith Machine Incline Press: 4 × 8–10  RIR 2  rest 120 s
Cable Fly: 3 × 10–12  RIR 1  rest 60 s
Cable Triceps Pressdown: 3 × 10–12  RIR 1  rest 60 s
EZ-Bar Skull Crusher: 3 × 10–12  RIR 1  rest 60 s</t>
        </is>
      </c>
      <c r="M20" s="2" t="inlineStr">
        <is>
          <t>You're amped but stressed, so we're taking Dumbbell Bench Press a rep closer to failure and keeping the structure simple and predictable. Your conditioning goal keeps the accessory rests short.</t>
        </is>
      </c>
      <c r="N20" s="2" t="n"/>
      <c r="O20" s="2" t="n"/>
      <c r="P20" s="2" t="n"/>
    </row>
    <row r="21">
      <c r="A21" s="2" t="n">
        <v>20</v>
      </c>
      <c r="B21" s="2" t="inlineStr">
        <is>
          <t>beginner</t>
        </is>
      </c>
      <c r="C21" s="2" t="inlineStr">
        <is>
          <t>Build strength</t>
        </is>
      </c>
      <c r="D21" s="2" t="n">
        <v>30</v>
      </c>
      <c r="E21" s="2" t="inlineStr">
        <is>
          <t>Full Body</t>
        </is>
      </c>
      <c r="F21" s="2" t="inlineStr">
        <is>
          <t>first session</t>
        </is>
      </c>
      <c r="G21" s="2" t="inlineStr">
        <is>
          <t>Full Body</t>
        </is>
      </c>
      <c r="H21" s="2" t="inlineStr">
        <is>
          <t>Compound + Paired Accessories</t>
        </is>
      </c>
      <c r="I21" s="2" t="n">
        <v>30.9</v>
      </c>
      <c r="J21" s="2" t="n">
        <v>10</v>
      </c>
      <c r="K21" s="2" t="inlineStr"/>
      <c r="L21" s="2" t="inlineStr">
        <is>
          <t>Hack Squat: 4 × 6–8  RIR 2  rest 150 s
Landmine Squat-to-Press: 3 × 8–10  RIR 2  rest 105 s
Neutral-Grip Lat Pulldown: 3 × 8–10  RIR 2  rest 105 s</t>
        </is>
      </c>
      <c r="M21" s="2" t="inlineStr">
        <is>
          <t>You're amped today, so we're running a compound + paired accessories shape and adding a working set to Hack Squat. Since you're newer to lifting, the main work keeps at least two reps in reserve and the movements stay approachable.</t>
        </is>
      </c>
      <c r="N21" s="2" t="n"/>
      <c r="O21" s="2" t="n"/>
      <c r="P21" s="2"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1"/>
  <sheetViews>
    <sheetView workbookViewId="0">
      <pane ySplit="1" topLeftCell="A2" activePane="bottomLeft" state="frozen"/>
      <selection pane="bottomLeft" activeCell="A1" sqref="A1"/>
    </sheetView>
  </sheetViews>
  <sheetFormatPr baseColWidth="8" defaultRowHeight="15"/>
  <cols>
    <col width="5" customWidth="1" min="1" max="1"/>
    <col width="22" customWidth="1" min="2" max="2"/>
    <col width="110" customWidth="1" min="3" max="3"/>
  </cols>
  <sheetData>
    <row r="1">
      <c r="A1" s="1" t="inlineStr">
        <is>
          <t>#</t>
        </is>
      </c>
      <c r="B1" s="1" t="inlineStr">
        <is>
          <t>Actual State(s)</t>
        </is>
      </c>
      <c r="C1" s="1" t="inlineStr">
        <is>
          <t>Realized for each State</t>
        </is>
      </c>
    </row>
    <row r="2">
      <c r="A2" s="2" t="n">
        <v>1</v>
      </c>
      <c r="B2" s="2" t="inlineStr">
        <is>
          <t>amped</t>
        </is>
      </c>
      <c r="C2" s="2" t="inlineStr">
        <is>
          <t>amped via heavy_end: Parallel Bar Dip 8–10→6–8; Parallel Bar Dip RIR 2→1; burnout finisher: Pec Deck 2 × 15–20</t>
        </is>
      </c>
    </row>
    <row r="3">
      <c r="A3" s="2" t="n">
        <v>2</v>
      </c>
      <c r="B3" s="2" t="inlineStr">
        <is>
          <t>irritated, stressed</t>
        </is>
      </c>
      <c r="C3" s="2" t="inlineStr">
        <is>
          <t>irritated via heavy_primary: Incline Dumbbell Press rest 210→240 s; Parallel Bar Dip rest 120→135 s; explosive intent on Incline Dumbbell Press; Heavy Primary instead of Compound + Paired Accessories; Single-Arm Cable Triceps Extension → Machine Triceps Extension
stressed via simpler: Single-Arm Cable Triceps Extension → Machine Triceps Extension</t>
        </is>
      </c>
    </row>
    <row r="4">
      <c r="A4" s="2" t="n">
        <v>3</v>
      </c>
      <c r="B4" s="2" t="inlineStr">
        <is>
          <t>bored</t>
        </is>
      </c>
      <c r="C4" s="2" t="inlineStr">
        <is>
          <t>bored via new_exercises: Compound + Paired Accessories instead of Traditional</t>
        </is>
      </c>
    </row>
    <row r="5">
      <c r="A5" s="2" t="n">
        <v>4</v>
      </c>
      <c r="B5" s="2" t="inlineStr">
        <is>
          <t>low_energy</t>
        </is>
      </c>
      <c r="C5" s="2" t="inlineStr">
        <is>
          <t>low_energy via moderate_load: Barbell Hip Thrust 6–8→8–10; Dumbbell Romanian Deadlift 8–10→10–12; Barbell Hip Thrust RIR 2→3; Dumbbell Romanian Deadlift RIR 2→3; Cable Glute Kickback out (complexity / systemic cost)</t>
        </is>
      </c>
    </row>
    <row r="6">
      <c r="A6" s="2" t="n">
        <v>5</v>
      </c>
      <c r="B6" s="2" t="inlineStr">
        <is>
          <t>low_energy</t>
        </is>
      </c>
      <c r="C6" s="2" t="inlineStr">
        <is>
          <t>low_energy via moderate_load: Barbell Hip Thrust 6–8→8–10; Pit Shark Belt Squat 8–10→10–12; Barbell Hip Thrust RIR 2→3; Pit Shark Belt Squat RIR 2→3</t>
        </is>
      </c>
    </row>
    <row r="7">
      <c r="A7" s="2" t="n">
        <v>6</v>
      </c>
      <c r="B7" s="2" t="inlineStr">
        <is>
          <t>bored</t>
        </is>
      </c>
      <c r="C7" s="2" t="inlineStr">
        <is>
          <t>bored via new_exercises: Compound + Paired Accessories instead of Traditional; Leg Extension → Sissy Squat</t>
        </is>
      </c>
    </row>
    <row r="8">
      <c r="A8" s="2" t="n">
        <v>7</v>
      </c>
      <c r="B8" s="2" t="inlineStr">
        <is>
          <t>stressed</t>
        </is>
      </c>
      <c r="C8" s="2" t="inlineStr">
        <is>
          <t>stressed via controlled: controlled on Leg Press, Box Step-Up (Glute Bias); 3 s eccentric on Leg Extension; Traditional instead of Volume; Slider Hamstring Curl out (complexity / systemic cost); Frog Pump → Machine Glute Kickback</t>
        </is>
      </c>
    </row>
    <row r="9">
      <c r="A9" s="2" t="n">
        <v>8</v>
      </c>
      <c r="B9" s="2" t="inlineStr">
        <is>
          <t>stressed</t>
        </is>
      </c>
      <c r="C9" s="2" t="inlineStr">
        <is>
          <t>stressed via simpler: Efficient instead of Heavy Primary</t>
        </is>
      </c>
    </row>
    <row r="10">
      <c r="A10" s="2" t="n">
        <v>9</v>
      </c>
      <c r="B10" s="2" t="inlineStr">
        <is>
          <t>irritated, stressed</t>
        </is>
      </c>
      <c r="C10" s="2" t="inlineStr">
        <is>
          <t>irritated via heavy_primary: Seated Dumbbell Shoulder Press rest 135→150 s; Smith Machine Incline Press rest 135→150 s; explosive intent on Dumbbell Bench Press; Heavy Primary instead of Volume; EZ-Bar Skull Crusher out (complexity / systemic cost)
stressed via predictable: Pec Deck rest 60→75 s; Machine Triceps Extension rest 60→75 s; EZ-Bar Skull Crusher out (complexity / systemic cost)</t>
        </is>
      </c>
    </row>
    <row r="11">
      <c r="A11" s="2" t="n">
        <v>10</v>
      </c>
      <c r="B11" s="2" t="inlineStr">
        <is>
          <t>bored</t>
        </is>
      </c>
      <c r="C11" s="2" t="inlineStr">
        <is>
          <t>bored via new_structure: paused reps on Barbell Romanian Deadlift; Top Set + Back-off instead of Traditional; Reverse Lunge → Curtsy Lunge; Landmine Rotation → Dragon Flag</t>
        </is>
      </c>
    </row>
    <row r="12">
      <c r="A12" s="2" t="n">
        <v>11</v>
      </c>
      <c r="B12" s="2" t="inlineStr">
        <is>
          <t>bored, low_energy</t>
        </is>
      </c>
      <c r="C12" s="2" t="inlineStr">
        <is>
          <t>bored via new_structure: EZ-Bar Curl → Incline Dumbbell Curl; Assisted Dip (Triceps Bias) → Seated Dip Machine; Cable Front Raise → Plate Front Raise
low_energy via cost_down: Incline Dumbbell Curl RIR 2→3; Seated Dip Machine RIR 2→3; Bayesian Cable Curl RIR 1→2; Cross-Body Cable Triceps Extension RIR 1→2; Plate Front Raise RIR 1→2; Chest-Supported Rear-Delt Row RIR 1→2; Chest-Supported Rear-Delt Row 4→3 sets; Cross-Body Cable Triceps Extension 4→3 sets; EZ-Bar Curl → Incline Dumbbell Curl; Assisted Dip (Triceps Bias) → Seated Dip Machine; Cable Front Raise → Plate Front Raise</t>
        </is>
      </c>
    </row>
    <row r="13">
      <c r="A13" s="2" t="n">
        <v>12</v>
      </c>
      <c r="B13" s="2" t="inlineStr">
        <is>
          <t>bored</t>
        </is>
      </c>
      <c r="C13" s="2" t="inlineStr">
        <is>
          <t>bored via new_exercises: 1.5 reps on Lat Pulldown; Heavy Primary instead of Efficient; Dumbbell Squat-to-Press → Dumbbell Thruster</t>
        </is>
      </c>
    </row>
    <row r="14">
      <c r="A14" s="2" t="n">
        <v>13</v>
      </c>
      <c r="B14" s="2" t="inlineStr">
        <is>
          <t>bored, low_energy</t>
        </is>
      </c>
      <c r="C14" s="2" t="inlineStr">
        <is>
          <t>bored via new_structure: Heavy Primary instead of Traditional; Dumbbell Pullover → Reverse Pec Deck; EZ-Bar Preacher Curl → Incline Dumbbell Curl
low_energy via cost_down: Dumbbell Pullover out (complexity / systemic cost); EZ-Bar Preacher Curl → Incline Dumbbell Curl</t>
        </is>
      </c>
    </row>
    <row r="15">
      <c r="A15" s="2" t="n">
        <v>14</v>
      </c>
      <c r="B15" s="2" t="inlineStr">
        <is>
          <t>amped, stressed</t>
        </is>
      </c>
      <c r="C15" s="2" t="inlineStr">
        <is>
          <t>amped via extra_set_paired: Barbell Bench Press 3→4 sets
stressed via simpler: Dumbbell Lateral Raise → EZ-Bar Preacher Curl</t>
        </is>
      </c>
    </row>
    <row r="16">
      <c r="A16" s="2" t="n">
        <v>15</v>
      </c>
      <c r="B16" s="2" t="inlineStr">
        <is>
          <t>amped, stressed</t>
        </is>
      </c>
      <c r="C16" s="2" t="inlineStr">
        <is>
          <t>amped via heavy_end: burnout finisher: Machine Glute Kickback 2 × 15–20
stressed via controlled: controlled on Cable Pull-Through</t>
        </is>
      </c>
    </row>
    <row r="17">
      <c r="A17" s="2" t="n">
        <v>16</v>
      </c>
      <c r="B17" s="2" t="inlineStr">
        <is>
          <t>amped</t>
        </is>
      </c>
      <c r="C17" s="2" t="inlineStr">
        <is>
          <t>amped via heavy_end: Dumbbell Thruster RIR 2→1; Seated Cable Row RIR 2→1</t>
        </is>
      </c>
    </row>
    <row r="18">
      <c r="A18" s="2" t="n">
        <v>17</v>
      </c>
      <c r="B18" s="2" t="inlineStr">
        <is>
          <t>low_energy</t>
        </is>
      </c>
      <c r="C18" s="2" t="inlineStr">
        <is>
          <t>low_energy via cost_down: Chest-Supported Machine Row RIR 1→2; Pull-Up RIR 2→3; Single-Arm Cable Row RIR 2→3; Dumbbell Pullover RIR 1→2; EZ-Bar Preacher Curl RIR 1→2; Barbell Curl → EZ-Bar Preacher Curl</t>
        </is>
      </c>
    </row>
    <row r="19">
      <c r="A19" s="2" t="n">
        <v>18</v>
      </c>
      <c r="B19" s="2" t="inlineStr">
        <is>
          <t>irritated</t>
        </is>
      </c>
      <c r="C19" s="2" t="inlineStr">
        <is>
          <t>irritated via direct_simple: Barbell Back Squat 5–7→4–6; Leg Press 8–10→6–8; Dumbbell Step-Up 8–10/side→6–8/side; Bulgarian Split Squat → Dumbbell Step-Up; Sissy Squat → Reverse Nordic Curl</t>
        </is>
      </c>
    </row>
    <row r="20">
      <c r="A20" s="2" t="n">
        <v>19</v>
      </c>
      <c r="B20" s="2" t="inlineStr">
        <is>
          <t>amped, stressed</t>
        </is>
      </c>
      <c r="C20" s="2" t="inlineStr">
        <is>
          <t>amped via top_set: Dumbbell Bench Press RIR 2→1
stressed via predictable: Dumbbell Bench Press rest 180→195 s; Parallel Bar Dip rest 105→120 s; Smith Machine Incline Press rest 105→120 s; Traditional instead of Compound + Paired Accessories; EZ-Bar Skull Crusher → Cable Triceps Pressdown; Single-Arm Cable Triceps Extension → EZ-Bar Skull Crusher</t>
        </is>
      </c>
    </row>
    <row r="21">
      <c r="A21" s="2" t="n">
        <v>20</v>
      </c>
      <c r="B21" s="2" t="inlineStr">
        <is>
          <t>amped</t>
        </is>
      </c>
      <c r="C21" s="2" t="inlineStr">
        <is>
          <t>amped via extra_set_paired: Hack Squat 3→4 sets; Compound + Paired Accessories instead of Efficient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34" customWidth="1" min="1" max="1"/>
    <col width="50" customWidth="1" min="2" max="2"/>
    <col width="60" customWidth="1" min="3" max="3"/>
    <col width="60" customWidth="1" min="4" max="4"/>
    <col width="10" customWidth="1" min="5" max="5"/>
    <col width="40" customWidth="1" min="6" max="6"/>
  </cols>
  <sheetData>
    <row r="1">
      <c r="A1" s="1" t="inlineStr">
        <is>
          <t>Case</t>
        </is>
      </c>
      <c r="B1" s="1" t="inlineStr">
        <is>
          <t>Context</t>
        </is>
      </c>
      <c r="C1" s="1" t="inlineStr">
        <is>
          <t>Legacy (Phase 2.6)</t>
        </is>
      </c>
      <c r="D1" s="1" t="inlineStr">
        <is>
          <t>Rebuilt core</t>
        </is>
      </c>
      <c r="E1" s="1" t="inlineStr">
        <is>
          <t>Rating (1-5)</t>
        </is>
      </c>
      <c r="F1" s="1" t="inlineStr">
        <is>
          <t>Notes</t>
        </is>
      </c>
    </row>
    <row r="2">
      <c r="A2" s="2" t="inlineStr">
        <is>
          <t>Upper Push, 60, intermediate, build muscle</t>
        </is>
      </c>
      <c r="B2" s="2" t="inlineStr">
        <is>
          <t>State(s): none · level: intermediate · goal: Build muscle · 60 min · target: Upper Push · soreness: none · equipment: commercial_gym · history: first session</t>
        </is>
      </c>
      <c r="C2" s="2" t="inlineStr">
        <is>
          <t>strength_upper_push · est. 42.0 min
  Dumbbell Bench Press: 4 × 8  RIR 2  rest 120 s
  Parallel Bar Dip: 3 × 10  RIR 2  rest 90 s
  Plate-Loaded Incline Press: 3 × 10  RIR 2  rest 90 s
  Cable Fly: 2 × 12  RIR 1  rest 60 s
  Cable Triceps Pressdown: 2 × 12  RIR 1  rest 60 s
  Dumbbell Skull Crusher: 2 × 12  RIR 1  rest 60 s</t>
        </is>
      </c>
      <c r="D2" s="2" t="inlineStr">
        <is>
          <t>Upper Push · Compound + Paired Accessories · est. 59.3 min
Barbell Bench Press: 4 × 5–7  RIR 2  rest 180 s
Parallel Bar Dip: 4 × 8–10  RIR 2  rest 120 s
Smith Machine Incline Press: 4 × 8–10  RIR 2  rest 120 s
SUPERSET A (4 rounds, rest 60 s after each round)
  A1 Dumbbell Fly: 4 × 12–15  RIR 1
  A2 Cable Triceps Pressdown: 4 × 12–15  RIR 1
EZ-Bar Skull Crusher: 4 × 12–15  RIR 1  rest 60 s
WHY: Your muscle goal is why 3 accessory movements sit behind the main lifts.</t>
        </is>
      </c>
      <c r="E2" s="2" t="n"/>
      <c r="F2" s="2" t="n"/>
    </row>
    <row r="3">
      <c r="A3" s="2" t="inlineStr">
        <is>
          <t>Lower Body: Squat, 60, intermediate, build strength</t>
        </is>
      </c>
      <c r="B3" s="2" t="inlineStr">
        <is>
          <t>State(s): none · level: intermediate · goal: Build strength · 60 min · target: Lower Body: Squat · soreness: none · equipment: commercial_gym · history: first session</t>
        </is>
      </c>
      <c r="C3" s="2" t="inlineStr">
        <is>
          <t>strength_lower_squat · est. 43.0 min
  Barbell Back Squat: 4 × 6  RIR 2  rest 150 s
  Leg Press: 3 × 10  RIR 2  rest 90 s
  Reverse Lunge: 3 × 10/side  RIR 2  rest 90 s
  Leg Extension: 3 × 12  RIR 1  rest 60 s
  Roman Chair / GHD Glute-Ham Raise: 3 × 12  RIR 1  rest 60 s</t>
        </is>
      </c>
      <c r="D3" s="2" t="inlineStr">
        <is>
          <t>Lower Body: Squat · Traditional · est. 55.0 min
Hack Squat: 4 × 5–7  RIR 2  rest 210 s
Leg Press: 4 × 8–10  RIR 2  rest 120 s
Walking Lunge: 4 × 8–10/side  RIR 2  rest 120 s
Reverse Nordic Curl: 3 × 12–15  RIR 1  rest 60 s
Roman Chair / GHD Glute-Ham Raise: 3 × 10–12  RIR 1  rest 60 s
WHY: Your strength goal keeps the main lift heavy with full rest.</t>
        </is>
      </c>
      <c r="E3" s="2" t="n"/>
      <c r="F3" s="2" t="n"/>
    </row>
    <row r="4">
      <c r="A4" s="2" t="inlineStr">
        <is>
          <t>Glutes + Legs, 60, beginner, feel better</t>
        </is>
      </c>
      <c r="B4" s="2" t="inlineStr">
        <is>
          <t>State(s): none · level: beginner · goal: Feel better / reduce stress · 60 min · target: Glutes + Legs · soreness: none · equipment: commercial_gym · history: first session</t>
        </is>
      </c>
      <c r="C4" s="2" t="inlineStr">
        <is>
          <t>strength_glutes_legs · est. 41.0 min
  Barbell Hip Thrust: 4 × 8  RIR 2  rest 120 s
  Dumbbell Romanian Deadlift: 3 × 10  RIR 2  rest 90 s
  Reverse Lunge: 3 × 10/side  RIR 2  rest 90 s
  Cable Glute Kickback: 3 × 12/side  RIR 1  rest 60 s
  Leg Extension: 3 × 12  RIR 1  rest 60 s</t>
        </is>
      </c>
      <c r="D4" s="2" t="inlineStr">
        <is>
          <t>Glutes + Legs · Traditional · est. 53.2 min
Barbell Hip Thrust: 4 × 6–8  RIR 3  (Stop each set with about 3 reps left in the tank.)  rest 150 s
Pit Shark Belt Squat: 4 × 8–10  RIR 3  (Stop each set with about 3 reps left in the tank.)  rest 120 s
Reverse Lunge: 4 × 8–10/side  RIR 3  (Stop each set with about 3 reps left in the tank.)  rest 120 s
Cable Glute Kickback: 2 × 12–15/side  RIR 2  rest 60 s
Seated Leg Curl: 2 × 12–15  RIR 2  rest 60 s
FINISHER  Frog Pump: 2 × 15–20  RIR 0  rest 30 s
WHY: Since you're newer to lifting, the main work keeps at least two reps in reserve and the movements stay approachable, and your feel-better goal keeps the compound work two reps from failure.</t>
        </is>
      </c>
      <c r="E4" s="2" t="n"/>
      <c r="F4" s="2" t="n"/>
    </row>
    <row r="5">
      <c r="A5" s="2" t="inlineStr">
        <is>
          <t>Upper Push, 60, intermediate</t>
        </is>
      </c>
      <c r="B5" s="2" t="inlineStr">
        <is>
          <t>State(s): low_energy · level: intermediate · goal: Build muscle · 60 min · target: Upper Push · soreness: none · equipment: commercial_gym · history: first session</t>
        </is>
      </c>
      <c r="C5" s="2" t="inlineStr">
        <is>
          <t>strength_upper_push · est. 40.0 min
  Dumbbell Bench Press: 4 × 8  RIR 2  rest 120 s
  Seated Dumbbell Shoulder Press: 3 × 10  RIR 2  rest 90 s
  Plate-Loaded Incline Press: 3 × 10  RIR 2  rest 90 s
  Pec Deck: 2 × 12  RIR 1  rest 60 s
  Machine Triceps Extension: 3 × 12  RIR 1  rest 60 s</t>
        </is>
      </c>
      <c r="D5" s="2" t="inlineStr">
        <is>
          <t>Upper Push · Compound + Paired Accessories · est. 53.2 min
Barbell Bench Press: 4 × 5–7  RIR 3  (Stop each set with about 3 reps left in the tank.)  rest 180 s
Parallel Bar Dip: 4 × 10–12  RIR 3  (Stop each set with about 3 reps left in the tank.)  rest 120 s
Plate-Loaded Incline Press: 4 × 10–12  RIR 3  (Stop each set with about 3 reps left in the tank.)  rest 120 s
SUPERSET A (2 rounds, rest 60 s after each round)
  A1 Dumbbell Fly: 2 × 12–15  RIR 1
  A2 Machine Triceps Extension: 2 × 12–15  RIR 1
Overhead Cable Triceps Extension: 3 × 12–15  RIR 1  rest 60 s
WHY: You're low on energy today, so we're keeping you further from failure on every set, leaning into stable, low-friction movements and keeping the main lifts at moderate loads. Your muscle goal is why 3 accessory movements sit behind the main lifts.</t>
        </is>
      </c>
      <c r="E5" s="2" t="n"/>
      <c r="F5" s="2" t="n"/>
    </row>
    <row r="6">
      <c r="A6" s="2" t="inlineStr">
        <is>
          <t>Upper Push, 60, intermediate</t>
        </is>
      </c>
      <c r="B6" s="2" t="inlineStr">
        <is>
          <t>State(s): amped · level: intermediate · goal: Build muscle · 60 min · target: Upper Push · soreness: none · equipment: commercial_gym · history: first session</t>
        </is>
      </c>
      <c r="C6" s="2" t="inlineStr">
        <is>
          <t>strength_upper_push · est. 43.0 min
  Dumbbell Bench Press: 4 × 8  RIR 1  rest 120 s
  Parallel Bar Dip: 3 × 10  RIR 1  rest 90 s
  Plate-Loaded Incline Press: 3 × 10  RIR 1  rest 90 s
  SUPERSET A (2 rounds, rest 60 s after each round)
    A1 Cable Fly: 2 × 12  RIR 0
    A2 Cable Triceps Pressdown: 2 × 12  RIR 0
  Dumbbell Skull Crusher: 2 × 12  RIR 0  rest 60 s
  FINISHER  Reverse Pec Deck: 2 × 20  RIR 0  rest 30 s</t>
        </is>
      </c>
      <c r="D6" s="2" t="inlineStr">
        <is>
          <t>Upper Push · Compound + Paired Accessories · est. 55.8 min
Barbell Bench Press: 5 × 5–7  RIR 2  rest 180 s
Parallel Bar Dip: 4 × 8–10  RIR 2  rest 120 s
Smith Machine Incline Press: 4 × 8–10  RIR 2  rest 120 s
SUPERSET A (2 rounds, rest 60 s after each round)
  A1 Dumbbell Fly: 2 × 12–15  RIR 1
  A2 Cable Triceps Pressdown: 2 × 12–15  RIR 1
EZ-Bar Skull Crusher: 3 × 12–15  RIR 1  rest 60 s
WHY: You're amped today, so we're adding a working set to Barbell Bench Press. Your muscle goal is why 3 accessory movements sit behind the main lifts.</t>
        </is>
      </c>
      <c r="E6" s="2" t="n"/>
      <c r="F6" s="2" t="n"/>
    </row>
    <row r="7">
      <c r="A7" s="2" t="inlineStr">
        <is>
          <t>Upper Push, 60, intermediate</t>
        </is>
      </c>
      <c r="B7" s="2" t="inlineStr">
        <is>
          <t>State(s): irritated · level: intermediate · goal: Build muscle · 60 min · target: Upper Push · soreness: none · equipment: commercial_gym · history: first session</t>
        </is>
      </c>
      <c r="C7" s="2" t="inlineStr">
        <is>
          <t>strength_upper_push · est. 44.0 min
  Dumbbell Bench Press: 4 × 8  RIR 1  rest 120 s
  Seated Dumbbell Shoulder Press: 3 × 10  RIR 1  rest 90 s
  Plate-Loaded Incline Press: 3 × 10  RIR 1  rest 90 s
  SUPERSET A (2 rounds, rest 60 s after each round)
    A1 Cable Fly: 2 × 12  RIR 0
    A2 Cable Triceps Pressdown: 2 × 12  RIR 0
  Dumbbell Skull Crusher: 2 × 12  RIR 0  rest 60 s
  FINISHER  Kettlebell Swing: 3 × 15  RIR 1  rest 45 s</t>
        </is>
      </c>
      <c r="D7" s="2" t="inlineStr">
        <is>
          <t>Upper Push · Top Set + Back-off · est. 57.5 min
Barbell Bench Press: 4 sets: 4/7/7/7  RIR 2  (Top set heavy, then back off 10–15% for the remaining sets. Stop each set with about 2 reps left in the tank.)  rest 225 s
Parallel Bar Dip: 4 × 8–10  RIR 2  rest 135 s
Smith Machine Incline Press: 4 × 8–10  RIR 2  rest 135 s
SUPERSET A (3 rounds, rest 60 s after each round)
  A1 Dumbbell Fly: 3 × 10–12  RIR 1
  A2 Cable Triceps Pressdown: 3 × 10–12  RIR 1
EZ-Bar Skull Crusher: 3 × 10–12  RIR 1  rest 60 s
WHY: You're irritated today, so we're keeping the structure direct and loading the main lifts heavier. As an intermediate lifter, the top-set scheme is in play, and your muscle goal is why 3 accessory movements sit behind the main lifts.</t>
        </is>
      </c>
      <c r="E7" s="2" t="n"/>
      <c r="F7" s="2" t="n"/>
    </row>
    <row r="8">
      <c r="A8" s="2" t="inlineStr">
        <is>
          <t>Upper Push, 60, intermediate</t>
        </is>
      </c>
      <c r="B8" s="2" t="inlineStr">
        <is>
          <t>State(s): bored · level: intermediate · goal: Build muscle · 60 min · target: Upper Push · soreness: none · equipment: commercial_gym · history: first session</t>
        </is>
      </c>
      <c r="C8" s="2" t="inlineStr">
        <is>
          <t>strength_upper_push · est. 40.0 min
  Dumbbell Bench Press: 4 × 8  RIR 2  rest 120 s
  Parallel Bar Dip: 3 × 10  RIR 2  rest 90 s
  PYRAMID Plate-Loaded Incline Press: 3 × 12/10/8  RIR 2  rest 90 s
  SUPERSET A (2 rounds, rest 60 s after each round)
    A1 Low-to-High Cable Fly: 2 × 12  RIR 1
    A2 Cross-Body Cable Triceps Extension: 2 × 12/side  RIR 1
  Machine Triceps Extension: 2 × 12  RIR 1  rest 60 s</t>
        </is>
      </c>
      <c r="D8" s="2" t="inlineStr">
        <is>
          <t>Upper Push · Compound + Paired Accessories · est. 53.8 min
Barbell Bench Press: 4 × 5–7  RIR 2  rest 180 s
Parallel Bar Dip: 4 × 8–10  RIR 2  rest 120 s
Smith Machine Incline Press: 4 × 8–10 · 1.5 reps  RIR 2  (Full rep, half rep from the stretched position, back to the top: that is one rep. Stop each set with about 2 reps left in the tank.)  rest 120 s
SUPERSET A (2 rounds, rest 60 s after each round)
  A1 Low-to-High Cable Fly: 2 × 12–15  RIR 1
  A2 Dumbbell Overhead Triceps Extension: 2 × 12–15  RIR 1
LADDER Cross-Body Cable Triceps Extension: 3 sets: 15/12/9  RIR 1  rest 30 s
WHY: You're bored today, so we're changing the feel with 1.5 reps on the Smith Machine Incline Press and bringing in 3 less-familiar movements. Your muscle goal is why 3 accessory movements sit behind the main lifts.</t>
        </is>
      </c>
      <c r="E8" s="2" t="n"/>
      <c r="F8" s="2" t="n"/>
    </row>
    <row r="9">
      <c r="A9" s="2" t="inlineStr">
        <is>
          <t>Upper Push, 60, intermediate</t>
        </is>
      </c>
      <c r="B9" s="2" t="inlineStr">
        <is>
          <t>State(s): stressed · level: intermediate · goal: Build muscle · 60 min · target: Upper Push · soreness: none · equipment: commercial_gym · history: first session</t>
        </is>
      </c>
      <c r="C9" s="2" t="inlineStr">
        <is>
          <t>strength_upper_push · est. 40.0 min
  Dumbbell Bench Press: 4 × 8  RIR 2  rest 120 s
  Seated Dumbbell Shoulder Press: 3 × 10  RIR 2  rest 90 s
  Plate-Loaded Incline Press: 3 × 10  RIR 2  rest 90 s
  SUPERSET A (2 rounds, rest 60 s after each round)
    A1 Cable Fly: 2 × 12  RIR 1
    A2 Cable Triceps Pressdown: 2 × 12  RIR 1
  Dumbbell Skull Crusher: 2 × 12  RIR 1  rest 60 s</t>
        </is>
      </c>
      <c r="D9" s="2" t="inlineStr">
        <is>
          <t>Upper Push · Traditional · est. 50.7 min
Barbell Bench Press: 4 × 5–7  RIR 2  rest 165 s
Parallel Bar Dip: 4 × 8–10  RIR 2  rest 120 s
Plate-Loaded Incline Press: 4 × 8–10  RIR 2  rest 120 s
SUPERSET A (4 rounds, rest 60 s after each round)
  A1 Dumbbell Fly: 4 × 10–12  RIR 1
  A2 Machine Triceps Extension: 4 × 10–12  RIR 1
WHY: You're stressed today, so we're keeping the structure simple and predictable, setting up one thing fewer and sticking to familiar movements you can run on autopilot. Your muscle goal is why 2 accessory movements sit behind the main lifts.</t>
        </is>
      </c>
      <c r="E9" s="2" t="n"/>
      <c r="F9" s="2" t="n"/>
    </row>
    <row r="10">
      <c r="A10" s="2" t="inlineStr">
        <is>
          <t>Amped + Stressed, Upper Push, 60</t>
        </is>
      </c>
      <c r="B10" s="2" t="inlineStr">
        <is>
          <t>State(s): amped, stressed · level: intermediate · goal: Build muscle · 60 min · target: Upper Push · soreness: none · equipment: commercial_gym · history: first session</t>
        </is>
      </c>
      <c r="C10" s="2" t="inlineStr">
        <is>
          <t>strength_upper_push · est. 42.0 min
  Dumbbell Bench Press: 4 × 8  RIR 1  rest 120 s
  Seated Dumbbell Shoulder Press: 4 × 10  RIR 1  rest 90 s
  Plate-Loaded Incline Press: 3 × 10  RIR 1  rest 90 s
  SUPERSET A (2 rounds, rest 60 s after each round)
    A1 Cable Fly: 2 × 12  RIR 0
    A2 Cable Triceps Pressdown: 2 × 12  RIR 0
  Dumbbell Skull Crusher: 2 × 12  RIR 0  rest 60 s</t>
        </is>
      </c>
      <c r="D10" s="2" t="inlineStr">
        <is>
          <t>Upper Push · Compound + Paired Accessories · est. 55.9 min
Barbell Bench Press: 5 × 5–7  RIR 2  rest 180 s
Parallel Bar Dip: 4 × 8–10  RIR 2  rest 120 s
Plate-Loaded Incline Press: 4 × 8–10  RIR 2  rest 120 s
SUPERSET A (4 rounds, rest 60 s after each round)
  A1 Dumbbell Fly: 4 × 12–15  RIR 1
  A2 Machine Triceps Extension: 4 × 12–15  RIR 1
WHY: You're amped but stressed, so we're adding a working set to Barbell Bench Press and setting up one thing fewer. Your muscle goal is why 2 accessory movements sit behind the main lifts.</t>
        </is>
      </c>
      <c r="E10" s="2" t="n"/>
      <c r="F10" s="2" t="n"/>
    </row>
    <row r="11">
      <c r="A11" s="2" t="inlineStr">
        <is>
          <t>Chest, 60, intermediate</t>
        </is>
      </c>
      <c r="B11" s="2" t="inlineStr">
        <is>
          <t>State(s): none · level: intermediate · goal: Build muscle · 60 min · target: Custom Target: chest · soreness: none · equipment: commercial_gym · history: first session</t>
        </is>
      </c>
      <c r="C11" s="2" t="inlineStr">
        <is>
          <t>strength_custom_target · est. 40.0 min
  Dumbbell Bench Press: 3 × 10  RIR 2  rest 90 s
  Dumbbell Fly: 3 × 10  RIR 2  rest 90 s
  Pec Deck: 3 × 10  RIR 2  rest 90 s
  Cable Fly: 3 × 10  RIR 2  rest 90 s
  Smith Machine Incline Press: 3 × 10  RIR 2  rest 90 s</t>
        </is>
      </c>
      <c r="D11" s="2" t="inlineStr">
        <is>
          <t>Custom Target · Traditional · est. 50.6 min
Incline Dumbbell Press: 5 × 5–7  RIR 2  rest 165 s
Push-Up: 4 × 8–12  RIR 2  rest 120 s
Parallel Bar Dip: 4 × 8–10  RIR 2  rest 120 s
Cable Fly: 4 × 10–12  RIR 1  rest 60 s
WHY: Your muscle goal is why 1 accessory movement sits behind the main lifts.</t>
        </is>
      </c>
      <c r="E11" s="2" t="n"/>
      <c r="F11" s="2"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55"/>
  <sheetViews>
    <sheetView workbookViewId="0">
      <pane ySplit="1" topLeftCell="A2" activePane="bottomLeft" state="frozen"/>
      <selection pane="bottomLeft" activeCell="A1" sqref="A1"/>
    </sheetView>
  </sheetViews>
  <sheetFormatPr baseColWidth="8" defaultRowHeight="15"/>
  <cols>
    <col width="160" customWidth="1" min="1" max="1"/>
  </cols>
  <sheetData>
    <row r="1">
      <c r="A1" s="1" t="inlineStr">
        <is>
          <t>QA metrics over the full sample</t>
        </is>
      </c>
    </row>
    <row r="2">
      <c r="A2">
        <f>= sample 4470 ok 4431 conflicts [(('strength_upper_push', "['chest']", 'sore_target_conflict'), 6), (('strength_upper_mixed', "['chest']", 'sore_target_conflict'), 6), (('strength_lower_squat', "['legs']", 'sore_target_conflict'), 6), (('strength_lower_hinge', "['legs']", 'sore_target_conflict'), 6), (('strength_glutes_legs', "['legs']", 'sore_target_conflict'), 6), (('strength_full_body', "['legs']", 'sore_target_conflict'), 6)]</f>
        <v/>
      </c>
    </row>
    <row r="3">
      <c r="A3" t="inlineStr"/>
    </row>
    <row r="4">
      <c r="A4">
        <f>= STATE SATISFACTION GATE</f>
        <v/>
      </c>
    </row>
    <row r="5">
      <c r="A5" t="inlineStr">
        <is>
          <t xml:space="preserve"> states evaluated 5548; satisfied 97% (5378/5548); needed a fallback expression 21% (1154/5548); yielded to a conflicting State by rule 76; exhausted 62</t>
        </is>
      </c>
    </row>
    <row r="6">
      <c r="A6" t="inlineStr">
        <is>
          <t xml:space="preserve">   yielded: {('amped', 'low_energy_vs_effort'): 60, ('low_energy', 'low_energy_vs_amped_volume'): 16}</t>
        </is>
      </c>
    </row>
    <row r="7">
      <c r="A7" t="inlineStr">
        <is>
          <t xml:space="preserve">   exhausted by (state, archetype, level): {('bored', 'strength_lower_squat', 'beginner'): 9, ('bored', 'strength_glutes_legs', 'beginner'): 4, ('low_energy', 'strength_core', 'beginner'): 9, ('bored', 'strength_core', 'beginner'): 2, ('irritated', 'strength_core', 'beginner'): 16, ('bored', 'strength_lower_hinge', 'advanced'): 2, ('bored', 'strength_full_body', 'beginner'): 3, ('irritated', 'strength_core', 'intermediate'): 14, ('bored', 'strength_upper_push', 'beginner'): 1, ('bored', 'strength_upper_pull', 'beginner'): 2}</t>
        </is>
      </c>
    </row>
    <row r="8">
      <c r="A8" t="inlineStr">
        <is>
          <t xml:space="preserve">   amped        satisfied 94% (1124/1195)  fallback used 32% (382/1195)</t>
        </is>
      </c>
    </row>
    <row r="9">
      <c r="A9" t="inlineStr">
        <is>
          <t xml:space="preserve">   bored        satisfied 98% (1120/1143)  fallback used 10% (114/1143)</t>
        </is>
      </c>
    </row>
    <row r="10">
      <c r="A10" t="inlineStr">
        <is>
          <t xml:space="preserve">   irritated    satisfied 97% (894/924)  fallback used 20% (182/924)</t>
        </is>
      </c>
    </row>
    <row r="11">
      <c r="A11" t="inlineStr">
        <is>
          <t xml:space="preserve">   low_energy   satisfied 97% (1106/1143)  fallback used 23% (265/1143)</t>
        </is>
      </c>
    </row>
    <row r="12">
      <c r="A12" t="inlineStr">
        <is>
          <t xml:space="preserve">   stressed     satisfied 99% (1134/1143)  fallback used 18% (211/1143)</t>
        </is>
      </c>
    </row>
    <row r="13">
      <c r="A13" t="inlineStr">
        <is>
          <t xml:space="preserve"> first-attempt no-op rate (before fallback): {'amped': '29%', 'bored': '6%', 'irritated': '17%', 'low_energy': '8%', 'stressed': '6%'}</t>
        </is>
      </c>
    </row>
    <row r="14">
      <c r="A14" t="inlineStr"/>
    </row>
    <row r="15">
      <c r="A15">
        <f>= STATE FINGERPRINTS (realized adaptation kinds in the final workout)</f>
        <v/>
      </c>
    </row>
    <row r="16">
      <c r="A16" t="inlineStr"/>
    </row>
    <row r="17">
      <c r="A17" t="inlineStr">
        <is>
          <t xml:space="preserve"> low_energy n=1080: kinds {'exercises': '60%', 'rir': '59%', 'reps': '25%', 'complexity_or_systemic_cap': '22%', 'structure': '20%', 'slot_removed': '17%', 'set_method': '11%', 'volume': '8%'}</t>
        </is>
      </c>
    </row>
    <row r="18">
      <c r="A18" t="inlineStr">
        <is>
          <t xml:space="preserve">   top combinations: [(['exercises', 'rir'], 117), (['exercises'], 100), (['rir'], 69), (['exercises', 'reps', 'rir'], 51), (['exercises', 'slot_removed'], 49)]</t>
        </is>
      </c>
    </row>
    <row r="19">
      <c r="A19" t="inlineStr">
        <is>
          <t xml:space="preserve">   expressions {'moderate_load': 337, 'simplify': 318, 'cost_down': 400, 'last_resort': 25}   set methods present {'slow_eccentric': 124, 'one_and_half': 11, 'pause': 66}   finisher 4% (48/1080)</t>
        </is>
      </c>
    </row>
    <row r="20">
      <c r="A20" t="inlineStr">
        <is>
          <t xml:space="preserve">   single-State vs same no-State build: retention 69%  Δsets -0.75  ΔRIR +0.55  Δrest +0.9s</t>
        </is>
      </c>
    </row>
    <row r="21">
      <c r="A21" t="inlineStr"/>
    </row>
    <row r="22">
      <c r="A22" t="inlineStr">
        <is>
          <t xml:space="preserve"> stressed n=1080: kinds {'exercises': '56%', 'tempo': '34%', 'rest': '32%', 'structure': '25%', 'complexity_or_systemic_cap': '19%', 'slot_removed': '14%', 'rir': '10%', 'set_method': '4%'}</t>
        </is>
      </c>
    </row>
    <row r="23">
      <c r="A23" t="inlineStr">
        <is>
          <t xml:space="preserve">   top combinations: [(['exercises', 'rest'], 120), (['exercises'], 108), (['tempo'], 91), (['rest'], 74), (['exercises', 'slot_removed'], 61)]</t>
        </is>
      </c>
    </row>
    <row r="24">
      <c r="A24" t="inlineStr">
        <is>
          <t xml:space="preserve">   expressions {'predictable': 386, 'simpler': 306, 'controlled': 370, 'last_resort': 18}   set methods present {'slow_eccentric': 45, 'one_and_half': 1, 'pause': 73}   finisher 2% (26/1080)</t>
        </is>
      </c>
    </row>
    <row r="25">
      <c r="A25" t="inlineStr">
        <is>
          <t xml:space="preserve">   single-State vs same no-State build: retention 72%  Δsets -0.45  ΔRIR +0.04  Δrest +4.5s</t>
        </is>
      </c>
    </row>
    <row r="26">
      <c r="A26" t="inlineStr"/>
    </row>
    <row r="27">
      <c r="A27" t="inlineStr">
        <is>
          <t xml:space="preserve"> bored n=1080: kinds {'exercises': '89%', 'set_method': '31%', 'structure': '22%', 'finisher': '7%'}</t>
        </is>
      </c>
    </row>
    <row r="28">
      <c r="A28" t="inlineStr">
        <is>
          <t xml:space="preserve">   top combinations: [(['exercises'], 533), (['exercises', 'set_method'], 192), (['exercises', 'structure'], 104), (['exercises', 'set_method', 'structure'], 71), (['exercises', 'finisher'], 43)]</t>
        </is>
      </c>
    </row>
    <row r="29">
      <c r="A29" t="inlineStr">
        <is>
          <t xml:space="preserve">   expressions {'new_exercises': 339, 'fresh_finish': 488, 'last_resort': 33, 'new_structure': 220}   set methods present {'one_and_half': 104, 'drop_set': 64, 'cluster': 26, 'slow_eccentric': 189, 'rest_pause': 116, 'pause': 171}   finisher 11% (116/1080)</t>
        </is>
      </c>
    </row>
    <row r="30">
      <c r="A30" t="inlineStr">
        <is>
          <t xml:space="preserve">   single-State vs same no-State build: retention 57%  Δsets -0.20  ΔRIR +0.00  Δrest +1.0s</t>
        </is>
      </c>
    </row>
    <row r="31">
      <c r="A31" t="inlineStr"/>
    </row>
    <row r="32">
      <c r="A32" t="inlineStr">
        <is>
          <t xml:space="preserve"> irritated n=810: kinds {'rest': '45%', 'tempo': '43%', 'exercises': '37%', 'structure': '35%', 'reps': '26%', 'complexity_or_systemic_cap': '19%', 'finisher': '5%'}</t>
        </is>
      </c>
    </row>
    <row r="33">
      <c r="A33" t="inlineStr">
        <is>
          <t xml:space="preserve">   top combinations: [(['rest', 'structure', 'tempo'], 105), (['exercises'], 95), (['rest', 'tempo'], 55), (['reps'], 51), (['exercises', 'reps'], 42)]</t>
        </is>
      </c>
    </row>
    <row r="34">
      <c r="A34" t="inlineStr">
        <is>
          <t xml:space="preserve">   expressions {'heavy_primary': 393, 'forceful_finish': 221, 'last_resort': 50, 'direct_simple': 146}   set methods present {'drop_set': 7, 'pause': 36, 'rest_pause': 4, 'slow_eccentric': 34, 'one_and_half': 8}   finisher 5% (41/810)</t>
        </is>
      </c>
    </row>
    <row r="35">
      <c r="A35" t="inlineStr">
        <is>
          <t xml:space="preserve">   single-State vs same no-State build: retention 84%  Δsets -0.62  ΔRIR +0.01  Δrest +9.0s</t>
        </is>
      </c>
    </row>
    <row r="36">
      <c r="A36" t="inlineStr"/>
    </row>
    <row r="37">
      <c r="A37" t="inlineStr">
        <is>
          <t xml:space="preserve"> amped n=1080: kinds {'rir': '43%', 'structure': '36%', 'volume': '26%', 'reps': '21%', 'set_method': '11%', 'finisher': '4%'}</t>
        </is>
      </c>
    </row>
    <row r="38">
      <c r="A38" t="inlineStr">
        <is>
          <t xml:space="preserve">   top combinations: [(['structure'], 154), (['rir'], 131), (['volume'], 115), (['reps'], 106), (['rir', 'structure'], 103)]</t>
        </is>
      </c>
    </row>
    <row r="39">
      <c r="A39" t="inlineStr">
        <is>
          <t xml:space="preserve">   expressions {'extra_set_paired': 295, 'top_set': 254, 'heavy_end': 367, 'last_resort': 164}   set methods present {'one_and_half': 63, 'cluster': 38, 'drop_set': 54, 'slow_eccentric': 86, 'rest_pause': 75, 'pause': 128}   finisher 7% (71/1080)</t>
        </is>
      </c>
    </row>
    <row r="40">
      <c r="A40" t="inlineStr">
        <is>
          <t xml:space="preserve">   single-State vs same no-State build: retention 97%  Δsets -0.01  ΔRIR -0.21  Δrest +2.5s</t>
        </is>
      </c>
    </row>
    <row r="41">
      <c r="A41" t="inlineStr"/>
    </row>
    <row r="42">
      <c r="A42">
        <f>= EXPLANATION TRUTHFULNESS</f>
        <v/>
      </c>
    </row>
    <row r="43">
      <c r="A43" t="inlineStr">
        <is>
          <t xml:space="preserve"> workouts with a synthesised line 4413; claims not backed by a realized contract entry: 0; workouts with no synthesised line 18 (no State, no soreness, nothing material to say beyond structure)</t>
        </is>
      </c>
    </row>
    <row r="44">
      <c r="A44" t="inlineStr">
        <is>
          <t xml:space="preserve"> style-lint violations: 0</t>
        </is>
      </c>
    </row>
    <row r="45">
      <c r="A45" t="inlineStr"/>
    </row>
    <row r="46">
      <c r="A46">
        <f>= EXPERIENCE LEVEL (archetype runs, no State, 60 min)</f>
        <v/>
      </c>
    </row>
    <row r="47">
      <c r="A47" t="inlineStr">
        <is>
          <t xml:space="preserve"> beginner     n=160 sets/session 18.0  exercises 5.3  set-method in session 19% (31/160)  methods {'slow_eccentric': 31}</t>
        </is>
      </c>
    </row>
    <row r="48">
      <c r="A48" t="inlineStr">
        <is>
          <t xml:space="preserve">      variants {'paired': 44, 'heavy_primary': 43, 'volume': 40, 'traditional': 26, 'efficient': 7}</t>
        </is>
      </c>
    </row>
    <row r="49">
      <c r="A49" t="inlineStr">
        <is>
          <t xml:space="preserve">      RIR {2: 742, 3: 110}  primary reps {'6–8': 116, '8–10': 39}  accessory reps {'12–15': 295, '15–20': 63, '20–40 sec': 3, '20–30 sec': 2}</t>
        </is>
      </c>
    </row>
    <row r="50">
      <c r="A50" t="inlineStr">
        <is>
          <t xml:space="preserve">      structures {'straight': 160, 'superset': 107, 'finisher': 18}</t>
        </is>
      </c>
    </row>
    <row r="51">
      <c r="A51" t="inlineStr">
        <is>
          <t xml:space="preserve"> intermediate n=160 sets/session 19.0  exercises 5.3  set-method in session 42% (68/160)  methods {'drop_set': 6, 'one_and_half': 6, 'pause': 24, 'slow_eccentric': 31, 'rest_pause': 1}</t>
        </is>
      </c>
    </row>
    <row r="52">
      <c r="A52" t="inlineStr">
        <is>
          <t xml:space="preserve">      variants {'paired': 44, 'volume': 42, 'heavy_primary': 36, 'traditional': 17, 'top_backoff': 14, 'efficient': 7}</t>
        </is>
      </c>
    </row>
    <row r="53">
      <c r="A53" t="inlineStr">
        <is>
          <t xml:space="preserve">      RIR {2: 448, 1: 388, 3: 8}  primary reps {'5–7': 93, '4–6': 42, '6–8': 20}  accessory reps {'10–12': 266, '12–15': 85, '15–20': 11, '20–30 sec': 2}</t>
        </is>
      </c>
    </row>
    <row r="54">
      <c r="A54" t="inlineStr">
        <is>
          <t xml:space="preserve">      structures {'straight': 160, 'superset': 86, 'finisher': 14, 'ladder': 1}</t>
        </is>
      </c>
    </row>
    <row r="55">
      <c r="A55" t="inlineStr">
        <is>
          <t xml:space="preserve"> advanced     n=160 sets/session 18.9  exercises 5.3  set-method in session 66% (105/160)  methods {'drop_set': 19, 'one_and_half': 18, 'pause': 25, 'rest_pause': 5, 'cluster': 8, 'slow_eccentric': 30}</t>
        </is>
      </c>
    </row>
    <row r="56">
      <c r="A56" t="inlineStr">
        <is>
          <t xml:space="preserve">      variants {'paired': 44, 'volume': 42, 'heavy_primary': 36, 'traditional': 17, 'top_backoff': 14, 'efficient': 7}</t>
        </is>
      </c>
    </row>
    <row r="57">
      <c r="A57" t="inlineStr">
        <is>
          <t xml:space="preserve">      RIR {1: 483, 2: 361}  primary reps {'5–7': 93, '4–6': 42, '6–8': 20}  accessory reps {'10–12': 262, '12–15': 92, '15–20': 10, '15–30 sec / side': 2}</t>
        </is>
      </c>
    </row>
    <row r="58">
      <c r="A58" t="inlineStr">
        <is>
          <t xml:space="preserve">      structures {'straight': 160, 'superset': 69, 'finisher': 11, 'ladder': 1}</t>
        </is>
      </c>
    </row>
    <row r="59">
      <c r="A59" t="inlineStr"/>
    </row>
    <row r="60">
      <c r="A60">
        <f>= GOAL (goal grid, no State, 60 min, intermediate+advanced)</f>
        <v/>
      </c>
    </row>
    <row r="61">
      <c r="A61" t="inlineStr">
        <is>
          <t xml:space="preserve"> build_muscle               n=40 variants {'volume': 14, 'paired': 14, 'heavy_primary': 6, 'efficient': 2, 'top_backoff': 2, 'traditional': 2}</t>
        </is>
      </c>
    </row>
    <row r="62">
      <c r="A62" t="inlineStr">
        <is>
          <t xml:space="preserve">      primary reps {'5–7': 24, '6–8': 10, '4–6': 6} primary rest {150: 14, 180: 14, 225: 8} accessories/session 2.5 accessory sets/session 7.9 accessory rest {60: 96, 30: 2} compound RIR {2: 105, 1: 13} methods {'drop_set': 7, 'one_and_half': 7, 'slow_eccentric': 6, 'pause': 4, 'rest_pause': 1}</t>
        </is>
      </c>
    </row>
    <row r="63">
      <c r="A63" t="inlineStr">
        <is>
          <t xml:space="preserve"> build_strength             n=40 variants {'heavy_primary': 14, 'top_backoff': 10, 'paired': 6, 'volume': 6, 'efficient': 2, 'traditional': 2}</t>
        </is>
      </c>
    </row>
    <row r="64">
      <c r="A64" t="inlineStr">
        <is>
          <t xml:space="preserve">      primary reps {'5–7': 22, '4–6': 18} primary rest {240: 26, 210: 8, 180: 6} accessories/session 2.4 accessory sets/session 6.1 accessory rest {60: 92, 45: 2} compound RIR {2: 95, 1: 17} methods {'drop_set': 2, 'slow_eccentric': 8, 'pause': 8, 'cluster': 5, 'one_and_half': 2}</t>
        </is>
      </c>
    </row>
    <row r="65">
      <c r="A65" t="inlineStr">
        <is>
          <t xml:space="preserve"> improve_athleticism        n=40 variants {'heavy_primary': 12, 'volume': 12, 'paired': 8, 'top_backoff': 4, 'efficient': 2, 'traditional': 2}</t>
        </is>
      </c>
    </row>
    <row r="66">
      <c r="A66" t="inlineStr">
        <is>
          <t xml:space="preserve">      primary reps {'5–7': 24, '4–6': 16} primary rest {240: 18, 180: 12, 210: 8} accessories/session 2.4 accessory sets/session 6.8 accessory rest {60: 88, 45: 8} compound RIR {2: 100, 1: 14} methods {'one_and_half': 4, 'rest_pause': 2, 'pause': 9, 'slow_eccentric': 4, 'drop_set': 1}</t>
        </is>
      </c>
    </row>
    <row r="67">
      <c r="A67" t="inlineStr">
        <is>
          <t xml:space="preserve"> lose_weight_conditioning   n=40 variants {'paired': 16, 'volume': 12, 'heavy_primary': 6, 'efficient': 2, 'top_backoff': 2, 'traditional': 2}</t>
        </is>
      </c>
    </row>
    <row r="68">
      <c r="A68" t="inlineStr">
        <is>
          <t xml:space="preserve">      primary reps {'5–7': 26, '6–8': 8, '4–6': 6} primary rest {195: 16, 165: 12, 240: 10} accessories/session 2.5 accessory sets/session 7.5 accessory rest {60: 66, 45: 34} compound RIR {2: 102, 1: 14} methods {'drop_set': 6, 'one_and_half': 2, 'slow_eccentric': 8, 'pause': 4}</t>
        </is>
      </c>
    </row>
    <row r="69">
      <c r="A69" t="inlineStr">
        <is>
          <t xml:space="preserve"> feel_better_reduce_stress  n=40 variants {'volume': 12, 'heavy_primary': 10, 'paired': 10, 'traditional': 4, 'efficient': 2, 'top_backoff': 2}</t>
        </is>
      </c>
    </row>
    <row r="70">
      <c r="A70" t="inlineStr">
        <is>
          <t xml:space="preserve">      primary reps {'5–7': 22, '4–6': 10, '6–8': 8} primary rest {240: 13, 165: 12, 195: 10} accessories/session 2.5 accessory sets/session 7.4 accessory rest {60: 96, 45: 2} compound RIR {2: 108, 3: 6} methods {'one_and_half': 3, 'slow_eccentric': 12, 'pause': 4, 'drop_set': 1}</t>
        </is>
      </c>
    </row>
    <row r="71">
      <c r="A71" t="inlineStr">
        <is>
          <t xml:space="preserve"> stay_consistent            n=40 variants {'volume': 12, 'paired': 12, 'heavy_primary': 8, 'top_backoff': 4, 'efficient': 2, 'traditional': 2}</t>
        </is>
      </c>
    </row>
    <row r="72">
      <c r="A72" t="inlineStr">
        <is>
          <t xml:space="preserve">      primary reps {'5–7': 24, '4–6': 8, '6–8': 8} primary rest {240: 13, 165: 12, 195: 12} accessories/session 2.5 accessory sets/session 7.3 accessory rest {60: 90, 45: 8} compound RIR {2: 102, 1: 14} methods {'drop_set': 2, 'slow_eccentric': 12, 'one_and_half': 2, 'pause': 4}</t>
        </is>
      </c>
    </row>
    <row r="73">
      <c r="A73" t="inlineStr"/>
    </row>
    <row r="74">
      <c r="A74">
        <f>= SET METHODS (all archetype runs)</f>
        <v/>
      </c>
    </row>
    <row r="75">
      <c r="A75" t="inlineStr">
        <is>
          <t xml:space="preserve"> sessions with a method: 27% (940/3510)  by method {'one_and_half': 135, 'drop_set': 98, 'cluster': 49, 'slow_eccentric': 335, 'rest_pause': 133, 'pause': 339}</t>
        </is>
      </c>
    </row>
    <row r="76">
      <c r="A76" t="inlineStr">
        <is>
          <t xml:space="preserve"> by State: {'': 'n/a', 'low_energy': '12% (32/270)', 'stressed': '8% (22/270)', 'bored': '72% (195/270)', 'irritated': '19% (52/270)', 'amped': '39% (105/270)'}</t>
        </is>
      </c>
    </row>
    <row r="77">
      <c r="A77" t="inlineStr">
        <is>
          <t xml:space="preserve"> method on which class: {'accessory': 250, 'secondary_compound': 484, 'primary_compound': 355}</t>
        </is>
      </c>
    </row>
    <row r="78">
      <c r="A78" t="inlineStr"/>
    </row>
    <row r="79">
      <c r="A79">
        <f>= BASE + REGRESSION</f>
        <v/>
      </c>
    </row>
    <row r="80">
      <c r="A80" t="inlineStr">
        <is>
          <t xml:space="preserve"> no-State 60: straight-only 39% (47/120) est mean 53.6 in 50–60 94% (113/120) variants {'paired': 33, 'traditional': 32, 'heavy_primary': 25, 'volume': 23, 'top_backoff': 4, 'efficient': 3}</t>
        </is>
      </c>
    </row>
    <row r="81">
      <c r="A81" t="inlineStr">
        <is>
          <t xml:space="preserve"> no-State 30: est mean 28.0 in 25–33 99% (119/120)</t>
        </is>
      </c>
    </row>
    <row r="82">
      <c r="A82" t="inlineStr">
        <is>
          <t xml:space="preserve"> Amped 60 finisher 19% (25/135) burnout 14% (19/135) top/back-off 20% (27/135)</t>
        </is>
      </c>
    </row>
    <row r="83">
      <c r="A83" t="inlineStr">
        <is>
          <t xml:space="preserve"> Irritated 60 finisher 18% (24/135) carry anywhere 7% (9/135) KB swing anywhere 7% (9/135)</t>
        </is>
      </c>
    </row>
    <row r="84">
      <c r="A84" t="inlineStr">
        <is>
          <t xml:space="preserve"> Low Energy: accessory sets reduced 18% (49/270)</t>
        </is>
      </c>
    </row>
    <row r="85">
      <c r="A85" t="inlineStr">
        <is>
          <t xml:space="preserve"> protected primary kept under low_energy: 100% (210/210)</t>
        </is>
      </c>
    </row>
    <row r="86">
      <c r="A86" t="inlineStr">
        <is>
          <t xml:space="preserve"> protected primary kept under stressed: 100% (210/210)</t>
        </is>
      </c>
    </row>
    <row r="87">
      <c r="A87" t="inlineStr">
        <is>
          <t xml:space="preserve"> protected primary kept under bored: 98% (206/210)</t>
        </is>
      </c>
    </row>
    <row r="88">
      <c r="A88" t="inlineStr">
        <is>
          <t xml:space="preserve"> protected primary kept under irritated: 100% (210/210)</t>
        </is>
      </c>
    </row>
    <row r="89">
      <c r="A89" t="inlineStr">
        <is>
          <t xml:space="preserve"> protected primary kept under amped: 100% (210/210)</t>
        </is>
      </c>
    </row>
    <row r="90">
      <c r="A90" t="inlineStr"/>
    </row>
    <row r="91">
      <c r="A91">
        <f>= SORENESS + EXPLICIT TARGET</f>
        <v/>
      </c>
    </row>
    <row r="92">
      <c r="A92" t="inlineStr">
        <is>
          <t xml:space="preserve"> target ['chest', 'triceps'] sore ['shoulders'] -&gt; strength_custom_target: ['db_incline_press', 'machine_chest_press', 'cable_fly', 'rope_pressdown', 'seated_dip_machine']</t>
        </is>
      </c>
    </row>
    <row r="93">
      <c r="A93" t="inlineStr">
        <is>
          <t xml:space="preserve">      ['no movement loads the sore front_delts, rear_delts, shoulders, side_delts directly', '2 movements still use it as a secondary mover (Incline Dumbbell Press, Machine Chest Press); everything else avoids it']</t>
        </is>
      </c>
    </row>
    <row r="94">
      <c r="A94" t="inlineStr">
        <is>
          <t xml:space="preserve"> target ['chest', 'triceps'] sore ['lower_back'] -&gt; strength_upper_push: ['barbell_bench_press', 'parallel_bar_dip', 'smith_incline_press', 'low_to_high_cable_fly', 'db_overhead_extension', 'machine_lateral_raise']</t>
        </is>
      </c>
    </row>
    <row r="95">
      <c r="A95" t="inlineStr">
        <is>
          <t xml:space="preserve">      ['no movement loads the sore spinal_erectors directly', 'no accessory uses it as a secondary mover either']</t>
        </is>
      </c>
    </row>
    <row r="96">
      <c r="A96" t="inlineStr">
        <is>
          <t xml:space="preserve"> target ['chest', 'triceps'] sore ['legs'] -&gt; strength_upper_push: ['barbell_bench_press', 'parallel_bar_dip', 'smith_incline_press', 'low_to_high_cable_fly', 'db_overhead_extension', 'machine_lateral_raise']</t>
        </is>
      </c>
    </row>
    <row r="97">
      <c r="A97" t="inlineStr">
        <is>
          <t xml:space="preserve">      ['no movement loads the sore calves, glutes, hamstrings, quads directly', 'no accessory uses it as a secondary mover either']</t>
        </is>
      </c>
    </row>
    <row r="98">
      <c r="A98" t="inlineStr">
        <is>
          <t xml:space="preserve"> target ['chest'] sore ['shoulders'] -&gt; strength_custom_target: ['db_incline_press', 'machine_chest_press', 'parallel_bar_dip', 'cable_fly']</t>
        </is>
      </c>
    </row>
    <row r="99">
      <c r="A99" t="inlineStr">
        <is>
          <t xml:space="preserve">      ['no movement loads the sore front_delts, rear_delts, shoulders, side_delts directly', '3 movements still use it as a secondary mover (Incline Dumbbell Press, Machine Chest Press, Parallel Bar Dip); everything else avoids it']</t>
        </is>
      </c>
    </row>
    <row r="100">
      <c r="A100" t="inlineStr">
        <is>
          <t xml:space="preserve"> target ['chest'] sore ['lower_back'] -&gt; strength_custom_target: ['db_incline_press', 'machine_chest_press', 'parallel_bar_dip', 'cable_fly']</t>
        </is>
      </c>
    </row>
    <row r="101">
      <c r="A101" t="inlineStr">
        <is>
          <t xml:space="preserve">      ['no movement loads the sore spinal_erectors directly', 'no accessory uses it as a secondary mover either']</t>
        </is>
      </c>
    </row>
    <row r="102">
      <c r="A102" t="inlineStr">
        <is>
          <t xml:space="preserve"> target ['chest'] sore ['legs'] -&gt; strength_custom_target: ['db_incline_press', 'machine_chest_press', 'parallel_bar_dip', 'cable_fly']</t>
        </is>
      </c>
    </row>
    <row r="103">
      <c r="A103" t="inlineStr">
        <is>
          <t xml:space="preserve">      ['no movement loads the sore calves, glutes, hamstrings, quads directly', 'no accessory uses it as a secondary mover either']</t>
        </is>
      </c>
    </row>
    <row r="104">
      <c r="A104" t="inlineStr">
        <is>
          <t xml:space="preserve"> target ['back', 'biceps'] sore ['shoulders'] -&gt; strength_upper_pull: ['assisted_pull_up_machine', 'single_arm_cable_row', 'single_arm_lat_pulldown', 'db_pullover', 'ez_preacher_curl', 'barbell_curl']</t>
        </is>
      </c>
    </row>
    <row r="105">
      <c r="A105" t="inlineStr">
        <is>
          <t xml:space="preserve">      ['no movement loads the sore front_delts, rear_delts, shoulders, side_delts directly', 'no accessory uses it as a secondary mover either']</t>
        </is>
      </c>
    </row>
    <row r="106">
      <c r="A106" t="inlineStr">
        <is>
          <t xml:space="preserve"> target ['back', 'biceps'] sore ['lower_back'] -&gt; strength_upper_pull: ['chest_supported_row_machine', 'assisted_pull_up_machine', 'meadows_row', 'straight_arm_pulldown', 'ez_preacher_curl', 'zottman_curl']</t>
        </is>
      </c>
    </row>
    <row r="107">
      <c r="A107" t="inlineStr">
        <is>
          <t xml:space="preserve">      ['no movement loads the sore spinal_erectors directly', 'no accessory uses it as a secondary mover either']</t>
        </is>
      </c>
    </row>
    <row r="108">
      <c r="A108" t="inlineStr">
        <is>
          <t xml:space="preserve"> target ['back', 'biceps'] sore ['legs'] -&gt; strength_upper_pull: ['chest_supported_row_machine', 'assisted_pull_up_machine', 't_bar_row', 'straight_arm_pulldown', 'ez_preacher_curl', 'zottman_curl']</t>
        </is>
      </c>
    </row>
    <row r="109">
      <c r="A109" t="inlineStr">
        <is>
          <t xml:space="preserve">      ['no movement loads the sore calves, glutes, hamstrings, quads directly', 'no accessory uses it as a secondary mover either']</t>
        </is>
      </c>
    </row>
    <row r="110">
      <c r="A110" t="inlineStr">
        <is>
          <t xml:space="preserve"> target ['quads', 'glutes'] sore ['shoulders'] -&gt; strength_glutes_legs: ['barbell_hip_thrust', 'hack_squat', 'box_step_up_glute', 'cable_glute_kickback', 'leg_extension']</t>
        </is>
      </c>
    </row>
    <row r="111">
      <c r="A111" t="inlineStr">
        <is>
          <t xml:space="preserve">      ['no movement loads the sore front_delts, rear_delts, shoulders, side_delts directly', 'no accessory uses it as a secondary mover either']</t>
        </is>
      </c>
    </row>
    <row r="112">
      <c r="A112" t="inlineStr">
        <is>
          <t xml:space="preserve"> target ['quads', 'glutes'] sore ['lower_back'] -&gt; strength_glutes_legs: ['barbell_hip_thrust', 'hack_squat', 'box_step_up_glute', 'cable_glute_kickback', 'leg_extension']</t>
        </is>
      </c>
    </row>
    <row r="113">
      <c r="A113" t="inlineStr">
        <is>
          <t xml:space="preserve">      ['no movement loads the sore spinal_erectors directly', 'no accessory uses it as a secondary mover either']</t>
        </is>
      </c>
    </row>
    <row r="114">
      <c r="A114" t="inlineStr">
        <is>
          <t xml:space="preserve"> target ['quads', 'glutes'] sore ['legs'] -&gt; strength_glutes_legs: ['barbell_hip_thrust', 'hack_squat', 'curtsy_lunge', 'cable_glute_kickback', 'leg_extension']</t>
        </is>
      </c>
    </row>
    <row r="115">
      <c r="A115" t="inlineStr">
        <is>
          <t xml:space="preserve">      ['glutes, quads trained as asked despite soreness']</t>
        </is>
      </c>
    </row>
    <row r="116">
      <c r="A116" t="inlineStr">
        <is>
          <t xml:space="preserve"> target ['chest', 'triceps'] sore ['shoulders'] -&gt; strength_custom_target: ['db_incline_press', 'machine_chest_press', 'low_to_high_cable_fly', 'overhead_cable_extension', 'seated_dip_machine']</t>
        </is>
      </c>
    </row>
    <row r="117">
      <c r="A117" t="inlineStr">
        <is>
          <t xml:space="preserve">      ['no movement loads the sore front_delts, rear_delts, shoulders, side_delts directly', '3 movements still use it as a secondary mover (Incline Dumbbell Press, Machine Chest Press, Low-to-High Cable Fly); everything else avoids it']</t>
        </is>
      </c>
    </row>
    <row r="118">
      <c r="A118" t="inlineStr">
        <is>
          <t xml:space="preserve"> target ['chest', 'triceps'] sore ['lower_back'] -&gt; strength_upper_push: ['db_incline_press', 'parallel_bar_dip', 'single_arm_cable_chest_press', 'pec_deck', 'ez_skull_crusher', 'cross_body_cable_triceps_extension']</t>
        </is>
      </c>
    </row>
    <row r="119">
      <c r="A119" t="inlineStr">
        <is>
          <t xml:space="preserve">      ['no movement loads the sore spinal_erectors directly', 'no accessory uses it as a secondary mover either']</t>
        </is>
      </c>
    </row>
    <row r="120">
      <c r="A120" t="inlineStr">
        <is>
          <t xml:space="preserve"> target ['chest', 'triceps'] sore ['legs'] -&gt; strength_upper_push: ['db_incline_press', 'parallel_bar_dip', 'single_arm_cable_chest_press', 'pec_deck', 'ez_skull_crusher', 'cross_body_cable_triceps_extension']</t>
        </is>
      </c>
    </row>
    <row r="121">
      <c r="A121" t="inlineStr">
        <is>
          <t xml:space="preserve">      ['no movement loads the sore calves, glutes, hamstrings, quads directly', 'no accessory uses it as a secondary mover either']</t>
        </is>
      </c>
    </row>
    <row r="122">
      <c r="A122" t="inlineStr">
        <is>
          <t xml:space="preserve"> target ['chest'] sore ['shoulders'] -&gt; strength_custom_target: ['db_incline_press', 'machine_chest_press', 'parallel_bar_dip', 'low_to_high_cable_fly']</t>
        </is>
      </c>
    </row>
    <row r="123">
      <c r="A123" t="inlineStr">
        <is>
          <t xml:space="preserve">      ['no movement loads the sore front_delts, rear_delts, shoulders, side_delts directly', '4 movements still use it as a secondary mover (Incline Dumbbell Press, Machine Chest Press, Parallel Bar Dip, Low-to-High Cable Fly); everything else avoids it']</t>
        </is>
      </c>
    </row>
    <row r="124">
      <c r="A124" t="inlineStr">
        <is>
          <t xml:space="preserve"> target ['chest'] sore ['lower_back'] -&gt; strength_custom_target: ['db_incline_press', 'machine_chest_press', 'parallel_bar_dip', 'low_to_high_cable_fly']</t>
        </is>
      </c>
    </row>
    <row r="125">
      <c r="A125" t="inlineStr">
        <is>
          <t xml:space="preserve">      ['no movement loads the sore spinal_erectors directly', 'no accessory uses it as a secondary mover either']</t>
        </is>
      </c>
    </row>
    <row r="126">
      <c r="A126" t="inlineStr">
        <is>
          <t xml:space="preserve"> target ['chest'] sore ['legs'] -&gt; strength_custom_target: ['db_incline_press', 'machine_chest_press', 'parallel_bar_dip', 'low_to_high_cable_fly']</t>
        </is>
      </c>
    </row>
    <row r="127">
      <c r="A127" t="inlineStr">
        <is>
          <t xml:space="preserve">      ['no movement loads the sore calves, glutes, hamstrings, quads directly', 'no accessory uses it as a secondary mover either']</t>
        </is>
      </c>
    </row>
    <row r="128">
      <c r="A128" t="inlineStr">
        <is>
          <t xml:space="preserve"> target ['back', 'biceps'] sore ['shoulders'] -&gt; strength_upper_pull: ['assisted_pull_up_machine', 'single_arm_cable_row', 'single_arm_lat_pulldown', 'db_pullover', 'ez_bar_curl', 'bayesian_cable_curl']</t>
        </is>
      </c>
    </row>
    <row r="129">
      <c r="A129" t="inlineStr">
        <is>
          <t xml:space="preserve">      ['no movement loads the sore front_delts, rear_delts, shoulders, side_delts directly', 'no accessory uses it as a secondary mover either']</t>
        </is>
      </c>
    </row>
    <row r="130">
      <c r="A130" t="inlineStr">
        <is>
          <t xml:space="preserve"> target ['back', 'biceps'] sore ['lower_back'] -&gt; strength_upper_pull: ['chest_supported_row_machine', 'chin_up', 'single_arm_db_row', 'straight_arm_pulldown', 'ez_bar_curl', 'bayesian_cable_curl']</t>
        </is>
      </c>
    </row>
    <row r="131">
      <c r="A131" t="inlineStr">
        <is>
          <t xml:space="preserve">      ['no movement loads the sore spinal_erectors directly', 'no accessory uses it as a secondary mover either']</t>
        </is>
      </c>
    </row>
    <row r="132">
      <c r="A132" t="inlineStr">
        <is>
          <t xml:space="preserve"> target ['back', 'biceps'] sore ['legs'] -&gt; strength_upper_pull: ['chest_supported_row_machine', 'chin_up', 'single_arm_db_row', 'straight_arm_pulldown', 'ez_bar_curl', 'bayesian_cable_curl']</t>
        </is>
      </c>
    </row>
    <row r="133">
      <c r="A133" t="inlineStr">
        <is>
          <t xml:space="preserve">      ['no movement loads the sore calves, glutes, hamstrings, quads directly', 'no accessory uses it as a secondary mover either']</t>
        </is>
      </c>
    </row>
    <row r="134">
      <c r="A134" t="inlineStr">
        <is>
          <t xml:space="preserve"> target ['quads', 'glutes'] sore ['shoulders'] -&gt; strength_glutes_legs: ['barbell_hip_thrust', 'hack_squat', 'curtsy_lunge', 'frog_pump', 'reverse_nordic']</t>
        </is>
      </c>
    </row>
    <row r="135">
      <c r="A135" t="inlineStr">
        <is>
          <t xml:space="preserve">      ['no movement loads the sore front_delts, rear_delts, shoulders, side_delts directly', 'no accessory uses it as a secondary mover either']</t>
        </is>
      </c>
    </row>
    <row r="136">
      <c r="A136" t="inlineStr">
        <is>
          <t xml:space="preserve"> target ['quads', 'glutes'] sore ['lower_back'] -&gt; strength_glutes_legs: ['barbell_hip_thrust', 'hack_squat', 'curtsy_lunge', 'frog_pump', 'reverse_nordic']</t>
        </is>
      </c>
    </row>
    <row r="137">
      <c r="A137" t="inlineStr">
        <is>
          <t xml:space="preserve">      ['no movement loads the sore spinal_erectors directly', 'no accessory uses it as a secondary mover either']</t>
        </is>
      </c>
    </row>
    <row r="138">
      <c r="A138" t="inlineStr">
        <is>
          <t xml:space="preserve"> target ['quads', 'glutes'] sore ['legs'] -&gt; strength_glutes_legs: ['barbell_hip_thrust', 'hack_squat', 'curtsy_lunge', 'frog_pump', 'reverse_nordic']</t>
        </is>
      </c>
    </row>
    <row r="139">
      <c r="A139" t="inlineStr">
        <is>
          <t xml:space="preserve">      ['glutes, quads trained as asked despite soreness']</t>
        </is>
      </c>
    </row>
    <row r="140">
      <c r="A140" t="inlineStr"/>
    </row>
    <row r="141">
      <c r="A141">
        <f>= SEQUENTIAL</f>
        <v/>
      </c>
    </row>
    <row r="142">
      <c r="A142" t="inlineStr">
        <is>
          <t xml:space="preserve"> h1: traditional/drop_set | paired | volume/slow_eccentric | paired/pause | traditional/slow_eccentric/fin | paired | volume | paired/one_and_half | traditional | volume/slow_eccentric</t>
        </is>
      </c>
    </row>
    <row r="143">
      <c r="A143" t="inlineStr">
        <is>
          <t xml:space="preserve">      back-to-back repeats: variant 0 expression 0 method 0 finisher 0</t>
        </is>
      </c>
    </row>
    <row r="144">
      <c r="A144" t="inlineStr">
        <is>
          <t xml:space="preserve"> h2: volume/top_set/pause | paired/heavy_end/drop_set | volume/extra_set_paired/one_and_half | traditional/heavy_end/fin | top_backoff/extra_set_paired/drop_set | top_backoff/top_set/one_and_half | volume/heavy_end/slow_eccentric | top_backoff/top_set</t>
        </is>
      </c>
    </row>
    <row r="145">
      <c r="A145" t="inlineStr">
        <is>
          <t xml:space="preserve">      back-to-back repeats: variant 1 expression 0 method 0 finisher 0</t>
        </is>
      </c>
    </row>
    <row r="146">
      <c r="A146" t="inlineStr">
        <is>
          <t xml:space="preserve"> h3: heavy_primary/heavy_primary/drop_set | paired/forceful_finish | heavy_primary/heavy_primary/rest_pause | heavy_primary/heavy_primary | traditional/heavy_primary/one_and_half | heavy_primary/heavy_primary/one_and_half | paired/direct_simple | heavy_primary/heavy_primary</t>
        </is>
      </c>
    </row>
    <row r="147">
      <c r="A147" t="inlineStr">
        <is>
          <t xml:space="preserve">      back-to-back repeats: variant 1 expression 3 method 1 finisher 0</t>
        </is>
      </c>
    </row>
    <row r="148">
      <c r="A148" t="inlineStr">
        <is>
          <t xml:space="preserve"> h4: traditional/moderate_load | traditional/cost_down | traditional/moderate_load | heavy_primary/simplify | traditional/cost_down/pause | heavy_primary/moderate_load | volume/simplify | volume/cost_down</t>
        </is>
      </c>
    </row>
    <row r="149">
      <c r="A149" t="inlineStr">
        <is>
          <t xml:space="preserve">      back-to-back repeats: variant 3 expression 0 method 0 finisher 0</t>
        </is>
      </c>
    </row>
    <row r="150">
      <c r="A150" t="inlineStr">
        <is>
          <t xml:space="preserve"> h5: top_backoff/new_exercises/slow_eccentric | paired/new_structure/slow_eccentric | volume/fresh_finish/pause | paired/new_structure/rest_pause | volume/fresh_finish/slow_eccentric | traditional/new_exercises/drop_set | paired/fresh_finish/drop_set | volume/new_structure/rest_pause</t>
        </is>
      </c>
    </row>
    <row r="151">
      <c r="A151" t="inlineStr">
        <is>
          <t xml:space="preserve">      back-to-back repeats: variant 0 expression 0 method 2 finisher 0</t>
        </is>
      </c>
    </row>
    <row r="152">
      <c r="A152" t="inlineStr">
        <is>
          <t xml:space="preserve"> h6: traditional/controlled | volume/simpler | traditional/predictable/slow_eccentric | traditional/simpler/slow_eccentric | volume/predictable | traditional/simpler | volume/controlled | traditional/simpler/pause</t>
        </is>
      </c>
    </row>
    <row r="153">
      <c r="A153" t="inlineStr">
        <is>
          <t xml:space="preserve">      back-to-back repeats: variant 1 expression 0 method 1 finisher 0</t>
        </is>
      </c>
    </row>
    <row r="154">
      <c r="A154" t="inlineStr">
        <is>
          <t xml:space="preserve"> h7: traditional | top_backoff/top_set | paired/new_structure/drop_set | traditional | paired/cost_down | heavy_primary/forceful_finish | volume | traditional/controlled | volume/heavy_end/pause/fin | heavy_primary/slow_eccentric</t>
        </is>
      </c>
    </row>
    <row r="155">
      <c r="A155" t="inlineStr">
        <is>
          <t xml:space="preserve">      back-to-back repeats: variant 0 expression 0 method 0 finisher 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2026-09-26T19:41:34Z</dcterms:created>
  <dcterms:modified xmlns:dcterms="http://purl.org/dc/terms/" xmlns:xsi="http://www.w3.org/2001/XMLSchema-instance" xsi:type="dcterms:W3CDTF">2026-09-26T19:41:34Z</dcterms:modified>
</cp:coreProperties>
</file>